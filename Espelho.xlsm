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75" windowWidth="20115" windowHeight="7755" activeTab="3"/>
  </bookViews>
  <sheets>
    <sheet name="Лист1" sheetId="1" r:id="rId1"/>
    <sheet name="Лист2" sheetId="2" r:id="rId2"/>
    <sheet name="Лист3" sheetId="4" r:id="rId3"/>
    <sheet name="Лист4" sheetId="5" r:id="rId4"/>
    <sheet name="xml" sheetId="3" r:id="rId5"/>
  </sheets>
  <functionGroups/>
  <definedNames>
    <definedName name="_T00">Лист3!$R$20</definedName>
    <definedName name="_T01">Лист3!$R$21</definedName>
    <definedName name="_T02">Лист3!$R$22</definedName>
    <definedName name="_T03">Лист3!$R$23</definedName>
    <definedName name="_T11">Лист3!$R$24</definedName>
    <definedName name="_T12">Лист3!$R$25</definedName>
    <definedName name="_T13">Лист3!$R$26</definedName>
    <definedName name="_T21">Лист3!$R$27</definedName>
    <definedName name="_T22">Лист3!$R$28</definedName>
    <definedName name="_T23">Лист3!$R$29</definedName>
    <definedName name="_T31">Лист3!$R$30</definedName>
    <definedName name="_T32">Лист3!$R$31</definedName>
    <definedName name="_T33">Лист3!$R$32</definedName>
    <definedName name="_XMLbeg">xml!$A$1</definedName>
    <definedName name="_XMLend">xml!$A$2</definedName>
    <definedName name="tDEFS">xml!$A$22</definedName>
    <definedName name="tMETA">xml!$A$42</definedName>
    <definedName name="tSVG">xml!$A$7</definedName>
  </definedNames>
  <calcPr calcId="125725"/>
</workbook>
</file>

<file path=xl/calcChain.xml><?xml version="1.0" encoding="utf-8"?>
<calcChain xmlns="http://schemas.openxmlformats.org/spreadsheetml/2006/main">
  <c r="D50" i="5"/>
  <c r="E50"/>
  <c r="D51"/>
  <c r="E51"/>
  <c r="D52"/>
  <c r="E52"/>
  <c r="D53"/>
  <c r="E53"/>
  <c r="D54"/>
  <c r="E54"/>
  <c r="D55"/>
  <c r="E55"/>
  <c r="D56"/>
  <c r="E56"/>
  <c r="D57"/>
  <c r="E57"/>
  <c r="D58"/>
  <c r="E58"/>
  <c r="D59"/>
  <c r="E59"/>
  <c r="E49"/>
  <c r="D49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E38"/>
  <c r="D38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E17"/>
  <c r="E18"/>
  <c r="E19"/>
  <c r="E20"/>
  <c r="E21"/>
  <c r="E22"/>
  <c r="E23"/>
  <c r="E24"/>
  <c r="E25"/>
  <c r="E26"/>
  <c r="E16"/>
  <c r="D16"/>
  <c r="D25"/>
  <c r="D26"/>
  <c r="D18"/>
  <c r="D19"/>
  <c r="D20"/>
  <c r="D21"/>
  <c r="D22"/>
  <c r="D23"/>
  <c r="D24"/>
  <c r="D17"/>
  <c r="R31" i="4"/>
  <c r="R32"/>
  <c r="R28"/>
  <c r="R29"/>
  <c r="R27"/>
  <c r="R25"/>
  <c r="R26"/>
  <c r="R24"/>
  <c r="R22"/>
  <c r="R23"/>
  <c r="R21"/>
  <c r="R20"/>
  <c r="P21"/>
  <c r="Q21"/>
  <c r="P22"/>
  <c r="Q22"/>
  <c r="P23"/>
  <c r="Q23"/>
  <c r="P24"/>
  <c r="Q24"/>
  <c r="P25"/>
  <c r="Q25"/>
  <c r="P26"/>
  <c r="Q26"/>
  <c r="P27"/>
  <c r="Q27"/>
  <c r="P28"/>
  <c r="Q28"/>
  <c r="P29"/>
  <c r="Q29"/>
  <c r="P30"/>
  <c r="Q30"/>
  <c r="R30" s="1"/>
  <c r="J7" s="1"/>
  <c r="J4" s="1"/>
  <c r="J3" s="1"/>
  <c r="J2" s="1"/>
  <c r="P31"/>
  <c r="Q31"/>
  <c r="P32"/>
  <c r="Q32"/>
  <c r="Q20"/>
  <c r="P20"/>
  <c r="H31"/>
  <c r="I31"/>
  <c r="H32"/>
  <c r="I32"/>
  <c r="I30"/>
  <c r="H30"/>
  <c r="H28"/>
  <c r="I28"/>
  <c r="H29"/>
  <c r="I29"/>
  <c r="I27"/>
  <c r="H27"/>
  <c r="H25"/>
  <c r="I25"/>
  <c r="H26"/>
  <c r="I26"/>
  <c r="I24"/>
  <c r="H24"/>
  <c r="H22"/>
  <c r="I22"/>
  <c r="H23"/>
  <c r="I23"/>
  <c r="I21"/>
  <c r="H21"/>
  <c r="J4" i="2"/>
  <c r="J3" s="1"/>
  <c r="J2" s="1"/>
  <c r="B21" i="3"/>
  <c r="A54"/>
  <c r="A1"/>
  <c r="A7"/>
  <c r="I5" i="1"/>
  <c r="J15" s="1"/>
  <c r="J11" s="1"/>
  <c r="I4"/>
  <c r="J7" s="1"/>
  <c r="J3" s="1"/>
  <c r="A2" i="3"/>
  <c r="A65"/>
  <c r="A42"/>
  <c r="A22"/>
  <c r="E27" i="5"/>
  <c r="D27"/>
  <c r="J2" i="1" l="1"/>
</calcChain>
</file>

<file path=xl/sharedStrings.xml><?xml version="1.0" encoding="utf-8"?>
<sst xmlns="http://schemas.openxmlformats.org/spreadsheetml/2006/main" count="98" uniqueCount="78">
  <si>
    <t>&lt;?xml version="1.0" encoding="UTF-8" standalone="no"?&gt;</t>
  </si>
  <si>
    <t>&lt;!-- Created with Inkscape (http://www.inkscape.org/) --&gt;</t>
  </si>
  <si>
    <t>&lt;svg</t>
  </si>
  <si>
    <t xml:space="preserve">   xmlns:dc="http://purl.org/dc/elements/1.1/"</t>
  </si>
  <si>
    <t xml:space="preserve">   xmlns:cc="http://creativecommons.org/ns#"</t>
  </si>
  <si>
    <t xml:space="preserve">   xmlns:rdf="http://www.w3.org/1999/02/22-rdf-syntax-ns#"</t>
  </si>
  <si>
    <t xml:space="preserve">   xmlns:svg="http://www.w3.org/2000/svg"</t>
  </si>
  <si>
    <t xml:space="preserve">   xmlns="http://www.w3.org/2000/svg"</t>
  </si>
  <si>
    <t xml:space="preserve">   xmlns:sodipodi="http://sodipodi.sourceforge.net/DTD/sodipodi-0.dtd"</t>
  </si>
  <si>
    <t xml:space="preserve">   xmlns:inkscape="http://www.inkscape.org/namespaces/inkscape"</t>
  </si>
  <si>
    <t xml:space="preserve">   width="210mm"</t>
  </si>
  <si>
    <t xml:space="preserve">   height="297mm"</t>
  </si>
  <si>
    <t xml:space="preserve">   viewBox="0 0 210 297"</t>
  </si>
  <si>
    <t xml:space="preserve">   version="1.1"</t>
  </si>
  <si>
    <t xml:space="preserve">   id="svg8"</t>
  </si>
  <si>
    <t xml:space="preserve">   inkscape:version="0.92.5 (2060ec1f9f, 2020-04-08)"</t>
  </si>
  <si>
    <t xml:space="preserve">  &lt;defs</t>
  </si>
  <si>
    <t xml:space="preserve">     id="defs2" /&gt;</t>
  </si>
  <si>
    <t xml:space="preserve">  &lt;sodipodi:namedview</t>
  </si>
  <si>
    <t xml:space="preserve">     id="base"</t>
  </si>
  <si>
    <t xml:space="preserve">     pagecolor="#ffffff"</t>
  </si>
  <si>
    <t xml:space="preserve">     bordercolor="#666666"</t>
  </si>
  <si>
    <t xml:space="preserve">     borderopacity="1.0"</t>
  </si>
  <si>
    <t xml:space="preserve">     inkscape:pageopacity="0.0"</t>
  </si>
  <si>
    <t xml:space="preserve">     inkscape:pageshadow="2"</t>
  </si>
  <si>
    <t xml:space="preserve">     inkscape:zoom="4.7"</t>
  </si>
  <si>
    <t xml:space="preserve">     inkscape:cx="3.4e+02"</t>
  </si>
  <si>
    <t xml:space="preserve">     inkscape:cy="1.1e+03"</t>
  </si>
  <si>
    <t xml:space="preserve">     inkscape:document-units="mm"</t>
  </si>
  <si>
    <t xml:space="preserve">     inkscape:current-layer="layer1"</t>
  </si>
  <si>
    <t xml:space="preserve">     showgrid="false"</t>
  </si>
  <si>
    <t xml:space="preserve">     inkscape:window-width="1366"</t>
  </si>
  <si>
    <t xml:space="preserve">     inkscape:window-height="705"</t>
  </si>
  <si>
    <t xml:space="preserve">     inkscape:window-x="-8"</t>
  </si>
  <si>
    <t xml:space="preserve">     inkscape:window-y="-8"</t>
  </si>
  <si>
    <t xml:space="preserve">     inkscape:window-maximized="1" /&gt;</t>
  </si>
  <si>
    <t xml:space="preserve">  &lt;metadata</t>
  </si>
  <si>
    <t xml:space="preserve">     id="metadata5"&gt;</t>
  </si>
  <si>
    <t xml:space="preserve">    &lt;rdf:RDF&gt;</t>
  </si>
  <si>
    <t xml:space="preserve">      &lt;cc:Work</t>
  </si>
  <si>
    <t xml:space="preserve">         rdf:about=""&gt;</t>
  </si>
  <si>
    <t xml:space="preserve">        &lt;dc:format&gt;image/svg+xml&lt;/dc:format&gt;</t>
  </si>
  <si>
    <t xml:space="preserve">        &lt;dc:type</t>
  </si>
  <si>
    <t xml:space="preserve">           rdf:resource="http://purl.org/dc/dcmitype/StillImage" /&gt;</t>
  </si>
  <si>
    <t xml:space="preserve">        &lt;dc:title /&gt;</t>
  </si>
  <si>
    <t xml:space="preserve">      &lt;/cc:Work&gt;</t>
  </si>
  <si>
    <t xml:space="preserve">    &lt;/rdf:RDF&gt;</t>
  </si>
  <si>
    <t xml:space="preserve">  &lt;/metadata&gt;</t>
  </si>
  <si>
    <t xml:space="preserve">  &lt;g</t>
  </si>
  <si>
    <t xml:space="preserve">     inkscape:label="Layer 1"</t>
  </si>
  <si>
    <t xml:space="preserve">     inkscape:groupmode="layer"</t>
  </si>
  <si>
    <t xml:space="preserve">  &lt;/g&gt;</t>
  </si>
  <si>
    <t>&lt;/svg&gt;</t>
  </si>
  <si>
    <t>&lt;path</t>
  </si>
  <si>
    <t xml:space="preserve">       style="fill:none;stroke:#000000;stroke-width:0.26px;stroke-linecap:butt;stroke-linejoin:miter;stroke-opacity:1"</t>
  </si>
  <si>
    <t xml:space="preserve">       id="path10"</t>
  </si>
  <si>
    <t xml:space="preserve">       inkscape:connector-curvature="0" /&gt;</t>
  </si>
  <si>
    <t xml:space="preserve">    &lt;path</t>
  </si>
  <si>
    <t xml:space="preserve">       id="path12"</t>
  </si>
  <si>
    <t>L</t>
  </si>
  <si>
    <t>W</t>
  </si>
  <si>
    <t>espelho11</t>
  </si>
  <si>
    <t xml:space="preserve">     id="layer1"&gt;</t>
  </si>
  <si>
    <t>espelho12</t>
  </si>
  <si>
    <t xml:space="preserve">       id="path16"</t>
  </si>
  <si>
    <t xml:space="preserve">       inkscape:connector-curvature="0"</t>
  </si>
  <si>
    <t xml:space="preserve">       sodipodi:nodetypes="cc" /&gt;</t>
  </si>
  <si>
    <t xml:space="preserve">       d="M 100.00, 0.00   C 87.00, 7.00    87.00, 11.00    93.00, 11.00"</t>
  </si>
  <si>
    <t>espelho13</t>
  </si>
  <si>
    <t xml:space="preserve">       id="path13"</t>
  </si>
  <si>
    <t xml:space="preserve">       sodipodi:nodetypes="cszsc" /&gt;</t>
  </si>
  <si>
    <t xml:space="preserve">       d="m 100,0 c -13,7      -13,11     -7,11    ||  4,0     4,3     -3,8   ||  -7,5    -9,4     -8,1  ||  1,-5     -6,-2     -7,5"</t>
  </si>
  <si>
    <t>https://ru.qwe.wiki/wiki/bezier_curve#Cubic_B%C3%A9zier_curves</t>
  </si>
  <si>
    <t>100.00</t>
  </si>
  <si>
    <t>87.00</t>
  </si>
  <si>
    <t>93.00</t>
  </si>
  <si>
    <t>x</t>
  </si>
  <si>
    <t>y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</si>
</sst>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/>
    </xf>
    <xf numFmtId="2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0</xdr:row>
      <xdr:rowOff>180976</xdr:rowOff>
    </xdr:from>
    <xdr:to>
      <xdr:col>5</xdr:col>
      <xdr:colOff>266700</xdr:colOff>
      <xdr:row>17</xdr:row>
      <xdr:rowOff>176296</xdr:rowOff>
    </xdr:to>
    <xdr:pic>
      <xdr:nvPicPr>
        <xdr:cNvPr id="2" name="Рисунок 1" descr="Espelo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8126" y="180976"/>
          <a:ext cx="3076574" cy="3233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104775</xdr:rowOff>
    </xdr:from>
    <xdr:to>
      <xdr:col>8</xdr:col>
      <xdr:colOff>114300</xdr:colOff>
      <xdr:row>17</xdr:row>
      <xdr:rowOff>152400</xdr:rowOff>
    </xdr:to>
    <xdr:pic>
      <xdr:nvPicPr>
        <xdr:cNvPr id="2" name="Рисунок 1" descr="cubi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295275"/>
          <a:ext cx="4876800" cy="3095625"/>
        </a:xfrm>
        <a:prstGeom prst="rect">
          <a:avLst/>
        </a:prstGeom>
      </xdr:spPr>
    </xdr:pic>
    <xdr:clientData/>
  </xdr:twoCellAnchor>
  <xdr:twoCellAnchor editAs="oneCell">
    <xdr:from>
      <xdr:col>9</xdr:col>
      <xdr:colOff>295275</xdr:colOff>
      <xdr:row>11</xdr:row>
      <xdr:rowOff>85724</xdr:rowOff>
    </xdr:from>
    <xdr:to>
      <xdr:col>14</xdr:col>
      <xdr:colOff>245633</xdr:colOff>
      <xdr:row>18</xdr:row>
      <xdr:rowOff>152399</xdr:rowOff>
    </xdr:to>
    <xdr:pic>
      <xdr:nvPicPr>
        <xdr:cNvPr id="4" name="Рисунок 3" descr="Espelho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81675" y="2181224"/>
          <a:ext cx="2998358" cy="14001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2</xdr:row>
      <xdr:rowOff>19051</xdr:rowOff>
    </xdr:from>
    <xdr:to>
      <xdr:col>6</xdr:col>
      <xdr:colOff>342900</xdr:colOff>
      <xdr:row>20</xdr:row>
      <xdr:rowOff>49879</xdr:rowOff>
    </xdr:to>
    <xdr:pic>
      <xdr:nvPicPr>
        <xdr:cNvPr id="2" name="Рисунок 1" descr="Espelho3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825" y="400051"/>
          <a:ext cx="3876675" cy="34598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</xdr:row>
      <xdr:rowOff>104775</xdr:rowOff>
    </xdr:from>
    <xdr:to>
      <xdr:col>9</xdr:col>
      <xdr:colOff>333375</xdr:colOff>
      <xdr:row>4</xdr:row>
      <xdr:rowOff>0</xdr:rowOff>
    </xdr:to>
    <xdr:pic>
      <xdr:nvPicPr>
        <xdr:cNvPr id="409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3825" y="295275"/>
          <a:ext cx="5695950" cy="466725"/>
        </a:xfrm>
        <a:prstGeom prst="rect">
          <a:avLst/>
        </a:prstGeom>
        <a:noFill/>
      </xdr:spPr>
    </xdr:pic>
    <xdr:clientData/>
  </xdr:twoCellAnchor>
  <xdr:twoCellAnchor>
    <xdr:from>
      <xdr:col>15</xdr:col>
      <xdr:colOff>569341</xdr:colOff>
      <xdr:row>0</xdr:row>
      <xdr:rowOff>0</xdr:rowOff>
    </xdr:from>
    <xdr:to>
      <xdr:col>16</xdr:col>
      <xdr:colOff>406400</xdr:colOff>
      <xdr:row>1</xdr:row>
      <xdr:rowOff>64643</xdr:rowOff>
    </xdr:to>
    <xdr:cxnSp macro="">
      <xdr:nvCxnSpPr>
        <xdr:cNvPr id="402" name="Прямая соединительная линия 401"/>
        <xdr:cNvCxnSpPr/>
      </xdr:nvCxnSpPr>
      <xdr:spPr>
        <a:xfrm flipH="1">
          <a:off x="9713341" y="0"/>
          <a:ext cx="446659" cy="255143"/>
        </a:xfrm>
        <a:prstGeom prst="line">
          <a:avLst/>
        </a:prstGeom>
        <a:ln w="635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216407</xdr:colOff>
      <xdr:row>1</xdr:row>
      <xdr:rowOff>64643</xdr:rowOff>
    </xdr:from>
    <xdr:to>
      <xdr:col>15</xdr:col>
      <xdr:colOff>569341</xdr:colOff>
      <xdr:row>2</xdr:row>
      <xdr:rowOff>105663</xdr:rowOff>
    </xdr:to>
    <xdr:cxnSp macro="">
      <xdr:nvCxnSpPr>
        <xdr:cNvPr id="403" name="Прямая соединительная линия 402"/>
        <xdr:cNvCxnSpPr/>
      </xdr:nvCxnSpPr>
      <xdr:spPr>
        <a:xfrm flipH="1">
          <a:off x="9360407" y="255143"/>
          <a:ext cx="352934" cy="231520"/>
        </a:xfrm>
        <a:prstGeom prst="line">
          <a:avLst/>
        </a:prstGeom>
        <a:ln w="635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561467</xdr:colOff>
      <xdr:row>2</xdr:row>
      <xdr:rowOff>105663</xdr:rowOff>
    </xdr:from>
    <xdr:to>
      <xdr:col>15</xdr:col>
      <xdr:colOff>216407</xdr:colOff>
      <xdr:row>3</xdr:row>
      <xdr:rowOff>122301</xdr:rowOff>
    </xdr:to>
    <xdr:cxnSp macro="">
      <xdr:nvCxnSpPr>
        <xdr:cNvPr id="404" name="Прямая соединительная линия 403"/>
        <xdr:cNvCxnSpPr/>
      </xdr:nvCxnSpPr>
      <xdr:spPr>
        <a:xfrm flipH="1">
          <a:off x="9095867" y="486663"/>
          <a:ext cx="264540" cy="207138"/>
        </a:xfrm>
        <a:prstGeom prst="line">
          <a:avLst/>
        </a:prstGeom>
        <a:ln w="635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379983</xdr:colOff>
      <xdr:row>3</xdr:row>
      <xdr:rowOff>122301</xdr:rowOff>
    </xdr:from>
    <xdr:to>
      <xdr:col>14</xdr:col>
      <xdr:colOff>561467</xdr:colOff>
      <xdr:row>4</xdr:row>
      <xdr:rowOff>113791</xdr:rowOff>
    </xdr:to>
    <xdr:cxnSp macro="">
      <xdr:nvCxnSpPr>
        <xdr:cNvPr id="405" name="Прямая соединительная линия 404"/>
        <xdr:cNvCxnSpPr/>
      </xdr:nvCxnSpPr>
      <xdr:spPr>
        <a:xfrm flipH="1">
          <a:off x="8914383" y="693801"/>
          <a:ext cx="181484" cy="181990"/>
        </a:xfrm>
        <a:prstGeom prst="line">
          <a:avLst/>
        </a:prstGeom>
        <a:ln w="635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276225</xdr:colOff>
      <xdr:row>4</xdr:row>
      <xdr:rowOff>113791</xdr:rowOff>
    </xdr:from>
    <xdr:to>
      <xdr:col>14</xdr:col>
      <xdr:colOff>379983</xdr:colOff>
      <xdr:row>5</xdr:row>
      <xdr:rowOff>79375</xdr:rowOff>
    </xdr:to>
    <xdr:cxnSp macro="">
      <xdr:nvCxnSpPr>
        <xdr:cNvPr id="406" name="Прямая соединительная линия 405"/>
        <xdr:cNvCxnSpPr/>
      </xdr:nvCxnSpPr>
      <xdr:spPr>
        <a:xfrm flipH="1">
          <a:off x="8810625" y="875791"/>
          <a:ext cx="103758" cy="156084"/>
        </a:xfrm>
        <a:prstGeom prst="line">
          <a:avLst/>
        </a:prstGeom>
        <a:ln w="635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244856</xdr:colOff>
      <xdr:row>5</xdr:row>
      <xdr:rowOff>79375</xdr:rowOff>
    </xdr:from>
    <xdr:to>
      <xdr:col>14</xdr:col>
      <xdr:colOff>276225</xdr:colOff>
      <xdr:row>6</xdr:row>
      <xdr:rowOff>18288</xdr:rowOff>
    </xdr:to>
    <xdr:cxnSp macro="">
      <xdr:nvCxnSpPr>
        <xdr:cNvPr id="407" name="Прямая соединительная линия 406"/>
        <xdr:cNvCxnSpPr/>
      </xdr:nvCxnSpPr>
      <xdr:spPr>
        <a:xfrm flipH="1">
          <a:off x="8779256" y="1031875"/>
          <a:ext cx="31369" cy="129413"/>
        </a:xfrm>
        <a:prstGeom prst="line">
          <a:avLst/>
        </a:prstGeom>
        <a:ln w="635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244856</xdr:colOff>
      <xdr:row>6</xdr:row>
      <xdr:rowOff>18288</xdr:rowOff>
    </xdr:from>
    <xdr:to>
      <xdr:col>14</xdr:col>
      <xdr:colOff>280543</xdr:colOff>
      <xdr:row>6</xdr:row>
      <xdr:rowOff>120269</xdr:rowOff>
    </xdr:to>
    <xdr:cxnSp macro="">
      <xdr:nvCxnSpPr>
        <xdr:cNvPr id="408" name="Прямая соединительная линия 407"/>
        <xdr:cNvCxnSpPr/>
      </xdr:nvCxnSpPr>
      <xdr:spPr>
        <a:xfrm>
          <a:off x="8779256" y="1161288"/>
          <a:ext cx="35687" cy="101981"/>
        </a:xfrm>
        <a:prstGeom prst="line">
          <a:avLst/>
        </a:prstGeom>
        <a:ln w="635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280543</xdr:colOff>
      <xdr:row>6</xdr:row>
      <xdr:rowOff>120269</xdr:rowOff>
    </xdr:from>
    <xdr:to>
      <xdr:col>14</xdr:col>
      <xdr:colOff>377952</xdr:colOff>
      <xdr:row>7</xdr:row>
      <xdr:rowOff>3555</xdr:rowOff>
    </xdr:to>
    <xdr:cxnSp macro="">
      <xdr:nvCxnSpPr>
        <xdr:cNvPr id="409" name="Прямая соединительная линия 408"/>
        <xdr:cNvCxnSpPr/>
      </xdr:nvCxnSpPr>
      <xdr:spPr>
        <a:xfrm>
          <a:off x="8814943" y="1263269"/>
          <a:ext cx="97409" cy="73786"/>
        </a:xfrm>
        <a:prstGeom prst="line">
          <a:avLst/>
        </a:prstGeom>
        <a:ln w="635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377952</xdr:colOff>
      <xdr:row>7</xdr:row>
      <xdr:rowOff>3555</xdr:rowOff>
    </xdr:from>
    <xdr:to>
      <xdr:col>14</xdr:col>
      <xdr:colOff>531748</xdr:colOff>
      <xdr:row>7</xdr:row>
      <xdr:rowOff>48386</xdr:rowOff>
    </xdr:to>
    <xdr:cxnSp macro="">
      <xdr:nvCxnSpPr>
        <xdr:cNvPr id="410" name="Прямая соединительная линия 409"/>
        <xdr:cNvCxnSpPr/>
      </xdr:nvCxnSpPr>
      <xdr:spPr>
        <a:xfrm>
          <a:off x="8912352" y="1337055"/>
          <a:ext cx="153796" cy="44831"/>
        </a:xfrm>
        <a:prstGeom prst="line">
          <a:avLst/>
        </a:prstGeom>
        <a:ln w="635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531748</xdr:colOff>
      <xdr:row>7</xdr:row>
      <xdr:rowOff>48386</xdr:rowOff>
    </xdr:from>
    <xdr:to>
      <xdr:col>15</xdr:col>
      <xdr:colOff>127000</xdr:colOff>
      <xdr:row>7</xdr:row>
      <xdr:rowOff>63500</xdr:rowOff>
    </xdr:to>
    <xdr:cxnSp macro="">
      <xdr:nvCxnSpPr>
        <xdr:cNvPr id="411" name="Прямая соединительная линия 410"/>
        <xdr:cNvCxnSpPr/>
      </xdr:nvCxnSpPr>
      <xdr:spPr>
        <a:xfrm>
          <a:off x="9066148" y="1381886"/>
          <a:ext cx="204852" cy="15114"/>
        </a:xfrm>
        <a:prstGeom prst="line">
          <a:avLst/>
        </a:prstGeom>
        <a:ln w="635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127000</xdr:colOff>
      <xdr:row>7</xdr:row>
      <xdr:rowOff>63500</xdr:rowOff>
    </xdr:from>
    <xdr:to>
      <xdr:col>15</xdr:col>
      <xdr:colOff>263779</xdr:colOff>
      <xdr:row>7</xdr:row>
      <xdr:rowOff>74802</xdr:rowOff>
    </xdr:to>
    <xdr:cxnSp macro="">
      <xdr:nvCxnSpPr>
        <xdr:cNvPr id="412" name="Прямая соединительная линия 411"/>
        <xdr:cNvCxnSpPr/>
      </xdr:nvCxnSpPr>
      <xdr:spPr>
        <a:xfrm>
          <a:off x="9271000" y="1397000"/>
          <a:ext cx="136779" cy="11302"/>
        </a:xfrm>
        <a:prstGeom prst="line">
          <a:avLst/>
        </a:prstGeom>
        <a:ln w="63500">
          <a:solidFill>
            <a:srgbClr val="8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263779</xdr:colOff>
      <xdr:row>7</xdr:row>
      <xdr:rowOff>74802</xdr:rowOff>
    </xdr:from>
    <xdr:to>
      <xdr:col>15</xdr:col>
      <xdr:colOff>367792</xdr:colOff>
      <xdr:row>7</xdr:row>
      <xdr:rowOff>108203</xdr:rowOff>
    </xdr:to>
    <xdr:cxnSp macro="">
      <xdr:nvCxnSpPr>
        <xdr:cNvPr id="413" name="Прямая соединительная линия 412"/>
        <xdr:cNvCxnSpPr/>
      </xdr:nvCxnSpPr>
      <xdr:spPr>
        <a:xfrm>
          <a:off x="9407779" y="1408302"/>
          <a:ext cx="104013" cy="33401"/>
        </a:xfrm>
        <a:prstGeom prst="line">
          <a:avLst/>
        </a:prstGeom>
        <a:ln w="63500">
          <a:solidFill>
            <a:srgbClr val="8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367792</xdr:colOff>
      <xdr:row>7</xdr:row>
      <xdr:rowOff>108203</xdr:rowOff>
    </xdr:from>
    <xdr:to>
      <xdr:col>15</xdr:col>
      <xdr:colOff>436753</xdr:colOff>
      <xdr:row>7</xdr:row>
      <xdr:rowOff>162941</xdr:rowOff>
    </xdr:to>
    <xdr:cxnSp macro="">
      <xdr:nvCxnSpPr>
        <xdr:cNvPr id="414" name="Прямая соединительная линия 413"/>
        <xdr:cNvCxnSpPr/>
      </xdr:nvCxnSpPr>
      <xdr:spPr>
        <a:xfrm>
          <a:off x="9511792" y="1441703"/>
          <a:ext cx="68961" cy="54738"/>
        </a:xfrm>
        <a:prstGeom prst="line">
          <a:avLst/>
        </a:prstGeom>
        <a:ln w="63500">
          <a:solidFill>
            <a:srgbClr val="8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436753</xdr:colOff>
      <xdr:row>7</xdr:row>
      <xdr:rowOff>162941</xdr:rowOff>
    </xdr:from>
    <xdr:to>
      <xdr:col>15</xdr:col>
      <xdr:colOff>468376</xdr:colOff>
      <xdr:row>8</xdr:row>
      <xdr:rowOff>47752</xdr:rowOff>
    </xdr:to>
    <xdr:cxnSp macro="">
      <xdr:nvCxnSpPr>
        <xdr:cNvPr id="415" name="Прямая соединительная линия 414"/>
        <xdr:cNvCxnSpPr/>
      </xdr:nvCxnSpPr>
      <xdr:spPr>
        <a:xfrm>
          <a:off x="9580753" y="1496441"/>
          <a:ext cx="31623" cy="75311"/>
        </a:xfrm>
        <a:prstGeom prst="line">
          <a:avLst/>
        </a:prstGeom>
        <a:ln w="63500">
          <a:solidFill>
            <a:srgbClr val="8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460375</xdr:colOff>
      <xdr:row>8</xdr:row>
      <xdr:rowOff>47752</xdr:rowOff>
    </xdr:from>
    <xdr:to>
      <xdr:col>15</xdr:col>
      <xdr:colOff>468376</xdr:colOff>
      <xdr:row>8</xdr:row>
      <xdr:rowOff>142875</xdr:rowOff>
    </xdr:to>
    <xdr:cxnSp macro="">
      <xdr:nvCxnSpPr>
        <xdr:cNvPr id="416" name="Прямая соединительная линия 415"/>
        <xdr:cNvCxnSpPr/>
      </xdr:nvCxnSpPr>
      <xdr:spPr>
        <a:xfrm flipH="1">
          <a:off x="9604375" y="1571752"/>
          <a:ext cx="8001" cy="95123"/>
        </a:xfrm>
        <a:prstGeom prst="line">
          <a:avLst/>
        </a:prstGeom>
        <a:ln w="63500">
          <a:solidFill>
            <a:srgbClr val="8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410464</xdr:colOff>
      <xdr:row>8</xdr:row>
      <xdr:rowOff>142875</xdr:rowOff>
    </xdr:from>
    <xdr:to>
      <xdr:col>15</xdr:col>
      <xdr:colOff>460375</xdr:colOff>
      <xdr:row>9</xdr:row>
      <xdr:rowOff>66548</xdr:rowOff>
    </xdr:to>
    <xdr:cxnSp macro="">
      <xdr:nvCxnSpPr>
        <xdr:cNvPr id="417" name="Прямая соединительная линия 416"/>
        <xdr:cNvCxnSpPr/>
      </xdr:nvCxnSpPr>
      <xdr:spPr>
        <a:xfrm flipH="1">
          <a:off x="9554464" y="1666875"/>
          <a:ext cx="49911" cy="114173"/>
        </a:xfrm>
        <a:prstGeom prst="line">
          <a:avLst/>
        </a:prstGeom>
        <a:ln w="63500">
          <a:solidFill>
            <a:srgbClr val="8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316356</xdr:colOff>
      <xdr:row>9</xdr:row>
      <xdr:rowOff>66548</xdr:rowOff>
    </xdr:from>
    <xdr:to>
      <xdr:col>15</xdr:col>
      <xdr:colOff>410464</xdr:colOff>
      <xdr:row>10</xdr:row>
      <xdr:rowOff>8508</xdr:rowOff>
    </xdr:to>
    <xdr:cxnSp macro="">
      <xdr:nvCxnSpPr>
        <xdr:cNvPr id="418" name="Прямая соединительная линия 417"/>
        <xdr:cNvCxnSpPr/>
      </xdr:nvCxnSpPr>
      <xdr:spPr>
        <a:xfrm flipH="1">
          <a:off x="9460356" y="1781048"/>
          <a:ext cx="94108" cy="132460"/>
        </a:xfrm>
        <a:prstGeom prst="line">
          <a:avLst/>
        </a:prstGeom>
        <a:ln w="63500">
          <a:solidFill>
            <a:srgbClr val="8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175768</xdr:colOff>
      <xdr:row>10</xdr:row>
      <xdr:rowOff>8508</xdr:rowOff>
    </xdr:from>
    <xdr:to>
      <xdr:col>15</xdr:col>
      <xdr:colOff>316356</xdr:colOff>
      <xdr:row>10</xdr:row>
      <xdr:rowOff>158495</xdr:rowOff>
    </xdr:to>
    <xdr:cxnSp macro="">
      <xdr:nvCxnSpPr>
        <xdr:cNvPr id="419" name="Прямая соединительная линия 418"/>
        <xdr:cNvCxnSpPr/>
      </xdr:nvCxnSpPr>
      <xdr:spPr>
        <a:xfrm flipH="1">
          <a:off x="9319768" y="1913508"/>
          <a:ext cx="140588" cy="149987"/>
        </a:xfrm>
        <a:prstGeom prst="line">
          <a:avLst/>
        </a:prstGeom>
        <a:ln w="63500">
          <a:solidFill>
            <a:srgbClr val="8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596010</xdr:colOff>
      <xdr:row>10</xdr:row>
      <xdr:rowOff>158495</xdr:rowOff>
    </xdr:from>
    <xdr:to>
      <xdr:col>15</xdr:col>
      <xdr:colOff>175768</xdr:colOff>
      <xdr:row>11</xdr:row>
      <xdr:rowOff>134747</xdr:rowOff>
    </xdr:to>
    <xdr:cxnSp macro="">
      <xdr:nvCxnSpPr>
        <xdr:cNvPr id="420" name="Прямая соединительная линия 419"/>
        <xdr:cNvCxnSpPr/>
      </xdr:nvCxnSpPr>
      <xdr:spPr>
        <a:xfrm flipH="1">
          <a:off x="9130410" y="2063495"/>
          <a:ext cx="189358" cy="166752"/>
        </a:xfrm>
        <a:prstGeom prst="line">
          <a:avLst/>
        </a:prstGeom>
        <a:ln w="63500">
          <a:solidFill>
            <a:srgbClr val="8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355600</xdr:colOff>
      <xdr:row>11</xdr:row>
      <xdr:rowOff>134747</xdr:rowOff>
    </xdr:from>
    <xdr:to>
      <xdr:col>14</xdr:col>
      <xdr:colOff>596010</xdr:colOff>
      <xdr:row>12</xdr:row>
      <xdr:rowOff>127000</xdr:rowOff>
    </xdr:to>
    <xdr:cxnSp macro="">
      <xdr:nvCxnSpPr>
        <xdr:cNvPr id="421" name="Прямая соединительная линия 420"/>
        <xdr:cNvCxnSpPr/>
      </xdr:nvCxnSpPr>
      <xdr:spPr>
        <a:xfrm flipH="1">
          <a:off x="8890000" y="2230247"/>
          <a:ext cx="240410" cy="182753"/>
        </a:xfrm>
        <a:prstGeom prst="line">
          <a:avLst/>
        </a:prstGeom>
        <a:ln w="63500">
          <a:solidFill>
            <a:srgbClr val="8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107695</xdr:colOff>
      <xdr:row>12</xdr:row>
      <xdr:rowOff>127000</xdr:rowOff>
    </xdr:from>
    <xdr:to>
      <xdr:col>14</xdr:col>
      <xdr:colOff>355600</xdr:colOff>
      <xdr:row>13</xdr:row>
      <xdr:rowOff>104648</xdr:rowOff>
    </xdr:to>
    <xdr:cxnSp macro="">
      <xdr:nvCxnSpPr>
        <xdr:cNvPr id="422" name="Прямая соединительная линия 421"/>
        <xdr:cNvCxnSpPr/>
      </xdr:nvCxnSpPr>
      <xdr:spPr>
        <a:xfrm flipH="1">
          <a:off x="8642095" y="2413000"/>
          <a:ext cx="247905" cy="168148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505968</xdr:colOff>
      <xdr:row>13</xdr:row>
      <xdr:rowOff>104648</xdr:rowOff>
    </xdr:from>
    <xdr:to>
      <xdr:col>14</xdr:col>
      <xdr:colOff>107695</xdr:colOff>
      <xdr:row>14</xdr:row>
      <xdr:rowOff>39623</xdr:rowOff>
    </xdr:to>
    <xdr:cxnSp macro="">
      <xdr:nvCxnSpPr>
        <xdr:cNvPr id="423" name="Прямая соединительная линия 422"/>
        <xdr:cNvCxnSpPr/>
      </xdr:nvCxnSpPr>
      <xdr:spPr>
        <a:xfrm flipH="1">
          <a:off x="8430768" y="2581148"/>
          <a:ext cx="211327" cy="12547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329692</xdr:colOff>
      <xdr:row>14</xdr:row>
      <xdr:rowOff>39623</xdr:rowOff>
    </xdr:from>
    <xdr:to>
      <xdr:col>13</xdr:col>
      <xdr:colOff>505968</xdr:colOff>
      <xdr:row>14</xdr:row>
      <xdr:rowOff>125476</xdr:rowOff>
    </xdr:to>
    <xdr:cxnSp macro="">
      <xdr:nvCxnSpPr>
        <xdr:cNvPr id="424" name="Прямая соединительная линия 423"/>
        <xdr:cNvCxnSpPr/>
      </xdr:nvCxnSpPr>
      <xdr:spPr>
        <a:xfrm flipH="1">
          <a:off x="8254492" y="2706623"/>
          <a:ext cx="176276" cy="8585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186943</xdr:colOff>
      <xdr:row>14</xdr:row>
      <xdr:rowOff>125476</xdr:rowOff>
    </xdr:from>
    <xdr:to>
      <xdr:col>13</xdr:col>
      <xdr:colOff>329692</xdr:colOff>
      <xdr:row>14</xdr:row>
      <xdr:rowOff>174751</xdr:rowOff>
    </xdr:to>
    <xdr:cxnSp macro="">
      <xdr:nvCxnSpPr>
        <xdr:cNvPr id="425" name="Прямая соединительная линия 424"/>
        <xdr:cNvCxnSpPr/>
      </xdr:nvCxnSpPr>
      <xdr:spPr>
        <a:xfrm flipH="1">
          <a:off x="8111743" y="2792476"/>
          <a:ext cx="142749" cy="49275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76200</xdr:colOff>
      <xdr:row>14</xdr:row>
      <xdr:rowOff>174751</xdr:rowOff>
    </xdr:from>
    <xdr:to>
      <xdr:col>13</xdr:col>
      <xdr:colOff>186943</xdr:colOff>
      <xdr:row>15</xdr:row>
      <xdr:rowOff>0</xdr:rowOff>
    </xdr:to>
    <xdr:cxnSp macro="">
      <xdr:nvCxnSpPr>
        <xdr:cNvPr id="426" name="Прямая соединительная линия 425"/>
        <xdr:cNvCxnSpPr/>
      </xdr:nvCxnSpPr>
      <xdr:spPr>
        <a:xfrm flipH="1">
          <a:off x="8001000" y="2841751"/>
          <a:ext cx="110743" cy="15749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605535</xdr:colOff>
      <xdr:row>14</xdr:row>
      <xdr:rowOff>175767</xdr:rowOff>
    </xdr:from>
    <xdr:to>
      <xdr:col>13</xdr:col>
      <xdr:colOff>76200</xdr:colOff>
      <xdr:row>15</xdr:row>
      <xdr:rowOff>0</xdr:rowOff>
    </xdr:to>
    <xdr:cxnSp macro="">
      <xdr:nvCxnSpPr>
        <xdr:cNvPr id="427" name="Прямая соединительная линия 426"/>
        <xdr:cNvCxnSpPr/>
      </xdr:nvCxnSpPr>
      <xdr:spPr>
        <a:xfrm flipH="1" flipV="1">
          <a:off x="7920735" y="2842767"/>
          <a:ext cx="80265" cy="1473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554228</xdr:colOff>
      <xdr:row>14</xdr:row>
      <xdr:rowOff>133604</xdr:rowOff>
    </xdr:from>
    <xdr:to>
      <xdr:col>12</xdr:col>
      <xdr:colOff>605535</xdr:colOff>
      <xdr:row>14</xdr:row>
      <xdr:rowOff>175767</xdr:rowOff>
    </xdr:to>
    <xdr:cxnSp macro="">
      <xdr:nvCxnSpPr>
        <xdr:cNvPr id="428" name="Прямая соединительная линия 427"/>
        <xdr:cNvCxnSpPr/>
      </xdr:nvCxnSpPr>
      <xdr:spPr>
        <a:xfrm flipH="1" flipV="1">
          <a:off x="7869428" y="2800604"/>
          <a:ext cx="51307" cy="4216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530352</xdr:colOff>
      <xdr:row>14</xdr:row>
      <xdr:rowOff>67055</xdr:rowOff>
    </xdr:from>
    <xdr:to>
      <xdr:col>12</xdr:col>
      <xdr:colOff>554228</xdr:colOff>
      <xdr:row>14</xdr:row>
      <xdr:rowOff>133604</xdr:rowOff>
    </xdr:to>
    <xdr:cxnSp macro="">
      <xdr:nvCxnSpPr>
        <xdr:cNvPr id="429" name="Прямая соединительная линия 428"/>
        <xdr:cNvCxnSpPr/>
      </xdr:nvCxnSpPr>
      <xdr:spPr>
        <a:xfrm flipH="1" flipV="1">
          <a:off x="7845552" y="2734055"/>
          <a:ext cx="23876" cy="66549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530352</xdr:colOff>
      <xdr:row>13</xdr:row>
      <xdr:rowOff>169672</xdr:rowOff>
    </xdr:from>
    <xdr:to>
      <xdr:col>12</xdr:col>
      <xdr:colOff>532383</xdr:colOff>
      <xdr:row>14</xdr:row>
      <xdr:rowOff>67055</xdr:rowOff>
    </xdr:to>
    <xdr:cxnSp macro="">
      <xdr:nvCxnSpPr>
        <xdr:cNvPr id="430" name="Прямая соединительная линия 429"/>
        <xdr:cNvCxnSpPr/>
      </xdr:nvCxnSpPr>
      <xdr:spPr>
        <a:xfrm flipV="1">
          <a:off x="7845552" y="2646172"/>
          <a:ext cx="2031" cy="87883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532383</xdr:colOff>
      <xdr:row>13</xdr:row>
      <xdr:rowOff>63500</xdr:rowOff>
    </xdr:from>
    <xdr:to>
      <xdr:col>12</xdr:col>
      <xdr:colOff>558800</xdr:colOff>
      <xdr:row>13</xdr:row>
      <xdr:rowOff>169672</xdr:rowOff>
    </xdr:to>
    <xdr:cxnSp macro="">
      <xdr:nvCxnSpPr>
        <xdr:cNvPr id="431" name="Прямая соединительная линия 430"/>
        <xdr:cNvCxnSpPr/>
      </xdr:nvCxnSpPr>
      <xdr:spPr>
        <a:xfrm flipV="1">
          <a:off x="7847583" y="2540000"/>
          <a:ext cx="26417" cy="106172"/>
        </a:xfrm>
        <a:prstGeom prst="line">
          <a:avLst/>
        </a:prstGeom>
        <a:ln w="63500">
          <a:solidFill>
            <a:srgbClr val="8000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558800</xdr:colOff>
      <xdr:row>12</xdr:row>
      <xdr:rowOff>93472</xdr:rowOff>
    </xdr:from>
    <xdr:to>
      <xdr:col>12</xdr:col>
      <xdr:colOff>568197</xdr:colOff>
      <xdr:row>13</xdr:row>
      <xdr:rowOff>63500</xdr:rowOff>
    </xdr:to>
    <xdr:cxnSp macro="">
      <xdr:nvCxnSpPr>
        <xdr:cNvPr id="432" name="Прямая соединительная линия 431"/>
        <xdr:cNvCxnSpPr/>
      </xdr:nvCxnSpPr>
      <xdr:spPr>
        <a:xfrm flipV="1">
          <a:off x="7874000" y="2379472"/>
          <a:ext cx="9397" cy="160528"/>
        </a:xfrm>
        <a:prstGeom prst="line">
          <a:avLst/>
        </a:prstGeom>
        <a:ln w="63500">
          <a:solidFill>
            <a:srgbClr val="99CC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527304</xdr:colOff>
      <xdr:row>11</xdr:row>
      <xdr:rowOff>181355</xdr:rowOff>
    </xdr:from>
    <xdr:to>
      <xdr:col>12</xdr:col>
      <xdr:colOff>568197</xdr:colOff>
      <xdr:row>12</xdr:row>
      <xdr:rowOff>93472</xdr:rowOff>
    </xdr:to>
    <xdr:cxnSp macro="">
      <xdr:nvCxnSpPr>
        <xdr:cNvPr id="433" name="Прямая соединительная линия 432"/>
        <xdr:cNvCxnSpPr/>
      </xdr:nvCxnSpPr>
      <xdr:spPr>
        <a:xfrm flipH="1" flipV="1">
          <a:off x="7842504" y="2276855"/>
          <a:ext cx="40893" cy="102617"/>
        </a:xfrm>
        <a:prstGeom prst="line">
          <a:avLst/>
        </a:prstGeom>
        <a:ln w="63500">
          <a:solidFill>
            <a:srgbClr val="99CC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446785</xdr:colOff>
      <xdr:row>11</xdr:row>
      <xdr:rowOff>133604</xdr:rowOff>
    </xdr:from>
    <xdr:to>
      <xdr:col>12</xdr:col>
      <xdr:colOff>527304</xdr:colOff>
      <xdr:row>11</xdr:row>
      <xdr:rowOff>181355</xdr:rowOff>
    </xdr:to>
    <xdr:cxnSp macro="">
      <xdr:nvCxnSpPr>
        <xdr:cNvPr id="434" name="Прямая соединительная линия 433"/>
        <xdr:cNvCxnSpPr/>
      </xdr:nvCxnSpPr>
      <xdr:spPr>
        <a:xfrm flipH="1" flipV="1">
          <a:off x="7761985" y="2229104"/>
          <a:ext cx="80519" cy="47751"/>
        </a:xfrm>
        <a:prstGeom prst="line">
          <a:avLst/>
        </a:prstGeom>
        <a:ln w="63500">
          <a:solidFill>
            <a:srgbClr val="99CC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337311</xdr:colOff>
      <xdr:row>11</xdr:row>
      <xdr:rowOff>133604</xdr:rowOff>
    </xdr:from>
    <xdr:to>
      <xdr:col>12</xdr:col>
      <xdr:colOff>446785</xdr:colOff>
      <xdr:row>11</xdr:row>
      <xdr:rowOff>137667</xdr:rowOff>
    </xdr:to>
    <xdr:cxnSp macro="">
      <xdr:nvCxnSpPr>
        <xdr:cNvPr id="435" name="Прямая соединительная линия 434"/>
        <xdr:cNvCxnSpPr/>
      </xdr:nvCxnSpPr>
      <xdr:spPr>
        <a:xfrm flipH="1">
          <a:off x="7652511" y="2229104"/>
          <a:ext cx="109474" cy="4063"/>
        </a:xfrm>
        <a:prstGeom prst="line">
          <a:avLst/>
        </a:prstGeom>
        <a:ln w="63500">
          <a:solidFill>
            <a:srgbClr val="99CC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11</xdr:row>
      <xdr:rowOff>137667</xdr:rowOff>
    </xdr:from>
    <xdr:to>
      <xdr:col>12</xdr:col>
      <xdr:colOff>337311</xdr:colOff>
      <xdr:row>12</xdr:row>
      <xdr:rowOff>0</xdr:rowOff>
    </xdr:to>
    <xdr:cxnSp macro="">
      <xdr:nvCxnSpPr>
        <xdr:cNvPr id="436" name="Прямая соединительная линия 435"/>
        <xdr:cNvCxnSpPr/>
      </xdr:nvCxnSpPr>
      <xdr:spPr>
        <a:xfrm flipH="1">
          <a:off x="7524750" y="2233167"/>
          <a:ext cx="127761" cy="52833"/>
        </a:xfrm>
        <a:prstGeom prst="line">
          <a:avLst/>
        </a:prstGeom>
        <a:ln w="63500">
          <a:solidFill>
            <a:srgbClr val="99CC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74168</xdr:colOff>
      <xdr:row>12</xdr:row>
      <xdr:rowOff>0</xdr:rowOff>
    </xdr:from>
    <xdr:to>
      <xdr:col>12</xdr:col>
      <xdr:colOff>209550</xdr:colOff>
      <xdr:row>12</xdr:row>
      <xdr:rowOff>98551</xdr:rowOff>
    </xdr:to>
    <xdr:cxnSp macro="">
      <xdr:nvCxnSpPr>
        <xdr:cNvPr id="437" name="Прямая соединительная линия 436"/>
        <xdr:cNvCxnSpPr/>
      </xdr:nvCxnSpPr>
      <xdr:spPr>
        <a:xfrm flipH="1">
          <a:off x="7389368" y="2286000"/>
          <a:ext cx="135382" cy="98551"/>
        </a:xfrm>
        <a:prstGeom prst="line">
          <a:avLst/>
        </a:prstGeom>
        <a:ln w="63500">
          <a:solidFill>
            <a:srgbClr val="99CC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551433</xdr:colOff>
      <xdr:row>12</xdr:row>
      <xdr:rowOff>98551</xdr:rowOff>
    </xdr:from>
    <xdr:to>
      <xdr:col>12</xdr:col>
      <xdr:colOff>74168</xdr:colOff>
      <xdr:row>13</xdr:row>
      <xdr:rowOff>49276</xdr:rowOff>
    </xdr:to>
    <xdr:cxnSp macro="">
      <xdr:nvCxnSpPr>
        <xdr:cNvPr id="438" name="Прямая соединительная линия 437"/>
        <xdr:cNvCxnSpPr/>
      </xdr:nvCxnSpPr>
      <xdr:spPr>
        <a:xfrm flipH="1">
          <a:off x="7257033" y="2384551"/>
          <a:ext cx="132335" cy="141225"/>
        </a:xfrm>
        <a:prstGeom prst="line">
          <a:avLst/>
        </a:prstGeom>
        <a:ln w="63500">
          <a:solidFill>
            <a:srgbClr val="99CC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432816</xdr:colOff>
      <xdr:row>13</xdr:row>
      <xdr:rowOff>49276</xdr:rowOff>
    </xdr:from>
    <xdr:to>
      <xdr:col>11</xdr:col>
      <xdr:colOff>551433</xdr:colOff>
      <xdr:row>14</xdr:row>
      <xdr:rowOff>39623</xdr:rowOff>
    </xdr:to>
    <xdr:cxnSp macro="">
      <xdr:nvCxnSpPr>
        <xdr:cNvPr id="439" name="Прямая соединительная линия 438"/>
        <xdr:cNvCxnSpPr/>
      </xdr:nvCxnSpPr>
      <xdr:spPr>
        <a:xfrm flipH="1">
          <a:off x="7138416" y="2525776"/>
          <a:ext cx="118617" cy="180847"/>
        </a:xfrm>
        <a:prstGeom prst="line">
          <a:avLst/>
        </a:prstGeom>
        <a:ln w="63500">
          <a:solidFill>
            <a:srgbClr val="99CC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338581</xdr:colOff>
      <xdr:row>14</xdr:row>
      <xdr:rowOff>39623</xdr:rowOff>
    </xdr:from>
    <xdr:to>
      <xdr:col>11</xdr:col>
      <xdr:colOff>432816</xdr:colOff>
      <xdr:row>15</xdr:row>
      <xdr:rowOff>66548</xdr:rowOff>
    </xdr:to>
    <xdr:cxnSp macro="">
      <xdr:nvCxnSpPr>
        <xdr:cNvPr id="440" name="Прямая соединительная линия 439"/>
        <xdr:cNvCxnSpPr/>
      </xdr:nvCxnSpPr>
      <xdr:spPr>
        <a:xfrm flipH="1">
          <a:off x="7044181" y="2706623"/>
          <a:ext cx="94235" cy="217425"/>
        </a:xfrm>
        <a:prstGeom prst="line">
          <a:avLst/>
        </a:prstGeom>
        <a:ln w="63500">
          <a:solidFill>
            <a:srgbClr val="99CC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279400</xdr:colOff>
      <xdr:row>15</xdr:row>
      <xdr:rowOff>66548</xdr:rowOff>
    </xdr:from>
    <xdr:to>
      <xdr:col>11</xdr:col>
      <xdr:colOff>338581</xdr:colOff>
      <xdr:row>16</xdr:row>
      <xdr:rowOff>127000</xdr:rowOff>
    </xdr:to>
    <xdr:cxnSp macro="">
      <xdr:nvCxnSpPr>
        <xdr:cNvPr id="441" name="Прямая соединительная линия 440"/>
        <xdr:cNvCxnSpPr/>
      </xdr:nvCxnSpPr>
      <xdr:spPr>
        <a:xfrm flipH="1">
          <a:off x="6985000" y="2924048"/>
          <a:ext cx="59181" cy="250952"/>
        </a:xfrm>
        <a:prstGeom prst="line">
          <a:avLst/>
        </a:prstGeom>
        <a:ln w="63500">
          <a:solidFill>
            <a:srgbClr val="99CC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G1:K22"/>
  <sheetViews>
    <sheetView workbookViewId="0">
      <selection activeCell="I4" sqref="I4"/>
    </sheetView>
  </sheetViews>
  <sheetFormatPr defaultRowHeight="15" zeroHeight="1"/>
  <sheetData>
    <row r="1" spans="7:11">
      <c r="K1" t="s">
        <v>61</v>
      </c>
    </row>
    <row r="2" spans="7:11">
      <c r="J2" s="1" t="str">
        <f>CONCATENATE(_XMLbeg,J3,J11,_XMLend)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  d="M 0.00, 0.00 H 100.00 V  100.00 H 0.00 Z"       id="path10"       inkscape:connector-curvature="0" /&gt;    &lt;path       style="fill:none;stroke:#000000;stroke-width:0.26px;stroke-linecap:butt;stroke-linejoin:miter;stroke-opacity:1"       d="M 25,  25 H 75.00 V  75.00 H 25 Z"       id="path12"       inkscape:connector-curvature="0" /&gt;  &lt;/g&gt;&lt;/svg&gt;</v>
      </c>
    </row>
    <row r="3" spans="7:11">
      <c r="J3" s="3" t="str">
        <f>CONCATENATE(J5,J6,J7,J8,J9)</f>
        <v>&lt;path       style="fill:none;stroke:#000000;stroke-width:0.26px;stroke-linecap:butt;stroke-linejoin:miter;stroke-opacity:1"       d="M 0.00, 0.00 H 100.00 V  100.00 H 0.00 Z"       id="path10"       inkscape:connector-curvature="0" /&gt;</v>
      </c>
    </row>
    <row r="4" spans="7:11">
      <c r="G4" t="s">
        <v>59</v>
      </c>
      <c r="H4" s="4">
        <v>50</v>
      </c>
      <c r="I4" s="4" t="str">
        <f>SUBSTITUTE(TEXT(2*H5+H4,"#,00"),",",".")</f>
        <v>100.00</v>
      </c>
    </row>
    <row r="5" spans="7:11">
      <c r="G5" t="s">
        <v>60</v>
      </c>
      <c r="H5" s="4">
        <v>25</v>
      </c>
      <c r="I5" s="4" t="str">
        <f>SUBSTITUTE(TEXT(H4+H5,"0,00"),",",".")</f>
        <v>75.00</v>
      </c>
      <c r="J5" t="s">
        <v>53</v>
      </c>
    </row>
    <row r="6" spans="7:11">
      <c r="J6" t="s">
        <v>54</v>
      </c>
    </row>
    <row r="7" spans="7:11">
      <c r="J7" t="str">
        <f>"       d=""M 0.00, 0.00 H " &amp; I4 &amp; " V  " &amp; I4 &amp; " H 0.00 Z"""</f>
        <v xml:space="preserve">       d="M 0.00, 0.00 H 100.00 V  100.00 H 0.00 Z"</v>
      </c>
    </row>
    <row r="8" spans="7:11">
      <c r="G8">
        <v>25</v>
      </c>
      <c r="J8" t="s">
        <v>55</v>
      </c>
    </row>
    <row r="9" spans="7:11">
      <c r="J9" t="s">
        <v>56</v>
      </c>
    </row>
    <row r="10" spans="7:11"/>
    <row r="11" spans="7:11">
      <c r="J11" s="3" t="str">
        <f>CONCATENATE(J13,J14,J15,J16,J17)</f>
        <v xml:space="preserve">    &lt;path       style="fill:none;stroke:#000000;stroke-width:0.26px;stroke-linecap:butt;stroke-linejoin:miter;stroke-opacity:1"       d="M 25,  25 H 75.00 V  75.00 H 25 Z"       id="path12"       inkscape:connector-curvature="0" /&gt;</v>
      </c>
    </row>
    <row r="12" spans="7:11"/>
    <row r="13" spans="7:11">
      <c r="J13" t="s">
        <v>57</v>
      </c>
    </row>
    <row r="14" spans="7:11">
      <c r="J14" t="s">
        <v>54</v>
      </c>
    </row>
    <row r="15" spans="7:11">
      <c r="J15" t="str">
        <f>"       d=""M " &amp; H5 &amp; ",  " &amp;  H5 &amp; " H " &amp; I5 &amp; " V  " &amp; I5 &amp; " H " &amp; H5 &amp; " Z"""</f>
        <v xml:space="preserve">       d="M 25,  25 H 75.00 V  75.00 H 25 Z"</v>
      </c>
    </row>
    <row r="16" spans="7:11">
      <c r="J16" t="s">
        <v>58</v>
      </c>
    </row>
    <row r="17" spans="10:10">
      <c r="J17" t="s">
        <v>56</v>
      </c>
    </row>
    <row r="18" spans="10:10"/>
    <row r="19" spans="10:10"/>
    <row r="20" spans="10:10"/>
    <row r="21" spans="10:10"/>
    <row r="22" spans="10:10"/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J1:K29"/>
  <sheetViews>
    <sheetView workbookViewId="0">
      <selection activeCell="J2" sqref="J2"/>
    </sheetView>
  </sheetViews>
  <sheetFormatPr defaultRowHeight="15" zeroHeight="1"/>
  <sheetData>
    <row r="1" spans="10:11">
      <c r="K1" t="s">
        <v>63</v>
      </c>
    </row>
    <row r="2" spans="10:11">
      <c r="J2" s="1" t="str">
        <f>CONCATENATE(_XMLbeg,J3,_XMLend)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  &lt;/g&gt;&lt;/svg&gt;</v>
      </c>
    </row>
    <row r="3" spans="10:11">
      <c r="J3" t="str">
        <f>J4</f>
        <v>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</v>
      </c>
    </row>
    <row r="4" spans="10:11">
      <c r="J4" s="3" t="str">
        <f>CONCATENATE(J5,J6,J7,J8,J9,J10)</f>
        <v>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</v>
      </c>
    </row>
    <row r="5" spans="10:11">
      <c r="J5" t="s">
        <v>53</v>
      </c>
    </row>
    <row r="6" spans="10:11">
      <c r="J6" t="s">
        <v>54</v>
      </c>
    </row>
    <row r="7" spans="10:11">
      <c r="J7" t="s">
        <v>67</v>
      </c>
    </row>
    <row r="8" spans="10:11">
      <c r="J8" t="s">
        <v>64</v>
      </c>
    </row>
    <row r="9" spans="10:11">
      <c r="J9" t="s">
        <v>65</v>
      </c>
    </row>
    <row r="10" spans="10:11">
      <c r="J10" t="s">
        <v>66</v>
      </c>
    </row>
    <row r="11" spans="10:11"/>
    <row r="12" spans="10:11"/>
    <row r="13" spans="10:11"/>
    <row r="14" spans="10:11"/>
    <row r="15" spans="10:11"/>
    <row r="16" spans="10:11"/>
    <row r="17"/>
    <row r="18"/>
    <row r="19"/>
    <row r="20"/>
    <row r="21"/>
    <row r="22"/>
    <row r="23"/>
    <row r="24"/>
    <row r="25"/>
    <row r="26"/>
    <row r="27"/>
    <row r="28"/>
    <row r="29"/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R34"/>
  <sheetViews>
    <sheetView topLeftCell="A13" workbookViewId="0">
      <selection activeCell="O29" sqref="O29:O32"/>
    </sheetView>
  </sheetViews>
  <sheetFormatPr defaultRowHeight="15" zeroHeight="1"/>
  <cols>
    <col min="18" max="18" width="11.85546875" customWidth="1"/>
  </cols>
  <sheetData>
    <row r="1" spans="10:11">
      <c r="K1" t="s">
        <v>68</v>
      </c>
    </row>
    <row r="2" spans="10:11">
      <c r="J2" s="1" t="str">
        <f>CONCATENATE(_XMLbeg,J3,_XMLend)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  &lt;/g&gt;&lt;/svg&gt;</v>
      </c>
    </row>
    <row r="3" spans="10:11">
      <c r="J3" t="str">
        <f>J4</f>
        <v>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</v>
      </c>
    </row>
    <row r="4" spans="10:11">
      <c r="J4" s="3" t="str">
        <f>CONCATENATE(J5,J6,J7,J8,J9,J10)</f>
        <v>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</v>
      </c>
    </row>
    <row r="5" spans="10:11">
      <c r="J5" t="s">
        <v>53</v>
      </c>
    </row>
    <row r="6" spans="10:11">
      <c r="J6" t="s">
        <v>54</v>
      </c>
    </row>
    <row r="7" spans="10:11">
      <c r="J7" t="str">
        <f>CONCATENATE("     d=""","M ",_T00," C ",_T01,_T02,_T03,_T11,_T12,_T13,_T21,_T22,_T23,_T31,_T32,_T33,"""")</f>
        <v xml:space="preserve">     d="M   100.00,0.00 C   87.00,7.00  87.00,11.00  93.00,11.00  97.00,11.00  97.00,14.00  90.00,19.00  83.00,24.00  81.00,23.00  82.00,20.00  83.00,15.00  76.00,18.00  75.00,25.00"</v>
      </c>
    </row>
    <row r="8" spans="10:11">
      <c r="J8" t="s">
        <v>69</v>
      </c>
    </row>
    <row r="9" spans="10:11">
      <c r="J9" t="s">
        <v>65</v>
      </c>
    </row>
    <row r="10" spans="10:11">
      <c r="J10" t="s">
        <v>70</v>
      </c>
    </row>
    <row r="11" spans="10:11"/>
    <row r="12" spans="10:11"/>
    <row r="13" spans="10:11"/>
    <row r="14" spans="10:11"/>
    <row r="15" spans="10:11"/>
    <row r="16" spans="10:11"/>
    <row r="17" spans="1:18"/>
    <row r="18" spans="1:18"/>
    <row r="19" spans="1:18"/>
    <row r="20" spans="1:18">
      <c r="H20">
        <v>100</v>
      </c>
      <c r="I20">
        <v>0</v>
      </c>
      <c r="N20" s="1">
        <v>100</v>
      </c>
      <c r="O20" s="1">
        <v>0</v>
      </c>
      <c r="P20" s="6" t="str">
        <f>SUBSTITUTE(TEXT(N20,"0,00"),",",".")</f>
        <v>100.00</v>
      </c>
      <c r="Q20" s="6" t="str">
        <f>SUBSTITUTE(TEXT(O20,"0,00"),",",".")</f>
        <v>0.00</v>
      </c>
      <c r="R20" s="5" t="str">
        <f>CONCATENATE("  ",P20,",",Q20)</f>
        <v xml:space="preserve">  100.00,0.00</v>
      </c>
    </row>
    <row r="21" spans="1:18">
      <c r="H21" s="1">
        <f>H$20+J21</f>
        <v>87</v>
      </c>
      <c r="I21" s="1">
        <f>I$20+K21</f>
        <v>7</v>
      </c>
      <c r="J21">
        <v>-13</v>
      </c>
      <c r="K21">
        <v>7</v>
      </c>
      <c r="N21">
        <v>87</v>
      </c>
      <c r="O21">
        <v>7</v>
      </c>
      <c r="P21" t="str">
        <f t="shared" ref="P21:P32" si="0">SUBSTITUTE(TEXT(N21,"0,00"),",",".")</f>
        <v>87.00</v>
      </c>
      <c r="Q21" t="str">
        <f t="shared" ref="Q21:Q32" si="1">SUBSTITUTE(TEXT(O21,"0,00"),",",".")</f>
        <v>7.00</v>
      </c>
      <c r="R21" t="str">
        <f>CONCATENATE("  ",P21,",",Q21)</f>
        <v xml:space="preserve">  87.00,7.00</v>
      </c>
    </row>
    <row r="22" spans="1:18">
      <c r="H22" s="1">
        <f t="shared" ref="H22:H23" si="2">H$20+J22</f>
        <v>87</v>
      </c>
      <c r="I22" s="1">
        <f t="shared" ref="I22:I23" si="3">I$20+K22</f>
        <v>11</v>
      </c>
      <c r="J22">
        <v>-13</v>
      </c>
      <c r="K22">
        <v>11</v>
      </c>
      <c r="N22">
        <v>87</v>
      </c>
      <c r="O22">
        <v>11</v>
      </c>
      <c r="P22" t="str">
        <f t="shared" si="0"/>
        <v>87.00</v>
      </c>
      <c r="Q22" t="str">
        <f t="shared" si="1"/>
        <v>11.00</v>
      </c>
      <c r="R22" t="str">
        <f t="shared" ref="R22:R23" si="4">CONCATENATE("  ",P22,",",Q22)</f>
        <v xml:space="preserve">  87.00,11.00</v>
      </c>
    </row>
    <row r="23" spans="1:18">
      <c r="A23" t="s">
        <v>53</v>
      </c>
      <c r="H23" s="1">
        <f t="shared" si="2"/>
        <v>93</v>
      </c>
      <c r="I23" s="1">
        <f t="shared" si="3"/>
        <v>11</v>
      </c>
      <c r="J23">
        <v>-7</v>
      </c>
      <c r="K23">
        <v>11</v>
      </c>
      <c r="N23">
        <v>93</v>
      </c>
      <c r="O23">
        <v>11</v>
      </c>
      <c r="P23" t="str">
        <f t="shared" si="0"/>
        <v>93.00</v>
      </c>
      <c r="Q23" t="str">
        <f t="shared" si="1"/>
        <v>11.00</v>
      </c>
      <c r="R23" t="str">
        <f t="shared" si="4"/>
        <v xml:space="preserve">  93.00,11.00</v>
      </c>
    </row>
    <row r="24" spans="1:18">
      <c r="A24" t="s">
        <v>54</v>
      </c>
      <c r="H24">
        <f>H$23+J24</f>
        <v>97</v>
      </c>
      <c r="I24">
        <f>I$23+K24</f>
        <v>11</v>
      </c>
      <c r="J24">
        <v>4</v>
      </c>
      <c r="K24">
        <v>0</v>
      </c>
      <c r="N24" s="1">
        <v>97</v>
      </c>
      <c r="O24" s="1">
        <v>11</v>
      </c>
      <c r="P24" s="6" t="str">
        <f t="shared" si="0"/>
        <v>97.00</v>
      </c>
      <c r="Q24" s="6" t="str">
        <f t="shared" si="1"/>
        <v>11.00</v>
      </c>
      <c r="R24" s="5" t="str">
        <f>CONCATENATE("  ",P24,",",Q24)</f>
        <v xml:space="preserve">  97.00,11.00</v>
      </c>
    </row>
    <row r="25" spans="1:18">
      <c r="A25" t="s">
        <v>71</v>
      </c>
      <c r="H25">
        <f t="shared" ref="H25:H26" si="5">H$23+J25</f>
        <v>97</v>
      </c>
      <c r="I25">
        <f t="shared" ref="I25:I26" si="6">I$23+K25</f>
        <v>14</v>
      </c>
      <c r="J25">
        <v>4</v>
      </c>
      <c r="K25">
        <v>3</v>
      </c>
      <c r="N25" s="1">
        <v>97</v>
      </c>
      <c r="O25" s="1">
        <v>14</v>
      </c>
      <c r="P25" s="6" t="str">
        <f t="shared" si="0"/>
        <v>97.00</v>
      </c>
      <c r="Q25" s="6" t="str">
        <f t="shared" si="1"/>
        <v>14.00</v>
      </c>
      <c r="R25" s="5" t="str">
        <f t="shared" ref="R25:R32" si="7">CONCATENATE("  ",P25,",",Q25)</f>
        <v xml:space="preserve">  97.00,14.00</v>
      </c>
    </row>
    <row r="26" spans="1:18">
      <c r="A26" t="s">
        <v>69</v>
      </c>
      <c r="H26">
        <f t="shared" si="5"/>
        <v>90</v>
      </c>
      <c r="I26">
        <f t="shared" si="6"/>
        <v>19</v>
      </c>
      <c r="J26">
        <v>-3</v>
      </c>
      <c r="K26">
        <v>8</v>
      </c>
      <c r="N26" s="1">
        <v>90</v>
      </c>
      <c r="O26" s="1">
        <v>19</v>
      </c>
      <c r="P26" s="6" t="str">
        <f t="shared" si="0"/>
        <v>90.00</v>
      </c>
      <c r="Q26" s="6" t="str">
        <f t="shared" si="1"/>
        <v>19.00</v>
      </c>
      <c r="R26" s="5" t="str">
        <f t="shared" si="7"/>
        <v xml:space="preserve">  90.00,19.00</v>
      </c>
    </row>
    <row r="27" spans="1:18">
      <c r="A27" t="s">
        <v>65</v>
      </c>
      <c r="H27" s="1">
        <f>H$26+J27</f>
        <v>83</v>
      </c>
      <c r="I27" s="1">
        <f>I$26+K27</f>
        <v>24</v>
      </c>
      <c r="J27">
        <v>-7</v>
      </c>
      <c r="K27">
        <v>5</v>
      </c>
      <c r="N27">
        <v>83</v>
      </c>
      <c r="O27">
        <v>24</v>
      </c>
      <c r="P27" t="str">
        <f t="shared" si="0"/>
        <v>83.00</v>
      </c>
      <c r="Q27" t="str">
        <f t="shared" si="1"/>
        <v>24.00</v>
      </c>
      <c r="R27" t="str">
        <f t="shared" si="7"/>
        <v xml:space="preserve">  83.00,24.00</v>
      </c>
    </row>
    <row r="28" spans="1:18">
      <c r="A28" t="s">
        <v>70</v>
      </c>
      <c r="H28" s="1">
        <f t="shared" ref="H28:H29" si="8">H$26+J28</f>
        <v>81</v>
      </c>
      <c r="I28" s="1">
        <f t="shared" ref="I28:I29" si="9">I$26+K28</f>
        <v>23</v>
      </c>
      <c r="J28">
        <v>-9</v>
      </c>
      <c r="K28">
        <v>4</v>
      </c>
      <c r="N28">
        <v>81</v>
      </c>
      <c r="O28">
        <v>23</v>
      </c>
      <c r="P28" t="str">
        <f t="shared" si="0"/>
        <v>81.00</v>
      </c>
      <c r="Q28" t="str">
        <f t="shared" si="1"/>
        <v>23.00</v>
      </c>
      <c r="R28" t="str">
        <f t="shared" si="7"/>
        <v xml:space="preserve">  81.00,23.00</v>
      </c>
    </row>
    <row r="29" spans="1:18">
      <c r="H29" s="1">
        <f t="shared" si="8"/>
        <v>82</v>
      </c>
      <c r="I29" s="1">
        <f t="shared" si="9"/>
        <v>20</v>
      </c>
      <c r="J29">
        <v>-8</v>
      </c>
      <c r="K29">
        <v>1</v>
      </c>
      <c r="N29">
        <v>82</v>
      </c>
      <c r="O29">
        <v>20</v>
      </c>
      <c r="P29" t="str">
        <f t="shared" si="0"/>
        <v>82.00</v>
      </c>
      <c r="Q29" t="str">
        <f t="shared" si="1"/>
        <v>20.00</v>
      </c>
      <c r="R29" t="str">
        <f t="shared" si="7"/>
        <v xml:space="preserve">  82.00,20.00</v>
      </c>
    </row>
    <row r="30" spans="1:18">
      <c r="H30">
        <f>H$29+J30</f>
        <v>83</v>
      </c>
      <c r="I30">
        <f>I$29+K30</f>
        <v>15</v>
      </c>
      <c r="J30">
        <v>1</v>
      </c>
      <c r="K30">
        <v>-5</v>
      </c>
      <c r="N30" s="1">
        <v>83</v>
      </c>
      <c r="O30" s="1">
        <v>15</v>
      </c>
      <c r="P30" s="6" t="str">
        <f t="shared" si="0"/>
        <v>83.00</v>
      </c>
      <c r="Q30" s="6" t="str">
        <f t="shared" si="1"/>
        <v>15.00</v>
      </c>
      <c r="R30" s="5" t="str">
        <f t="shared" si="7"/>
        <v xml:space="preserve">  83.00,15.00</v>
      </c>
    </row>
    <row r="31" spans="1:18">
      <c r="H31">
        <f t="shared" ref="H31:H32" si="10">H$29+J31</f>
        <v>76</v>
      </c>
      <c r="I31">
        <f t="shared" ref="I31:I32" si="11">I$29+K31</f>
        <v>18</v>
      </c>
      <c r="J31">
        <v>-6</v>
      </c>
      <c r="K31">
        <v>-2</v>
      </c>
      <c r="N31" s="1">
        <v>76</v>
      </c>
      <c r="O31" s="1">
        <v>18</v>
      </c>
      <c r="P31" s="6" t="str">
        <f t="shared" si="0"/>
        <v>76.00</v>
      </c>
      <c r="Q31" s="6" t="str">
        <f t="shared" si="1"/>
        <v>18.00</v>
      </c>
      <c r="R31" s="5" t="str">
        <f t="shared" si="7"/>
        <v xml:space="preserve">  76.00,18.00</v>
      </c>
    </row>
    <row r="32" spans="1:18">
      <c r="H32">
        <f t="shared" si="10"/>
        <v>75</v>
      </c>
      <c r="I32">
        <f t="shared" si="11"/>
        <v>25</v>
      </c>
      <c r="J32">
        <v>-7</v>
      </c>
      <c r="K32">
        <v>5</v>
      </c>
      <c r="N32" s="1">
        <v>75</v>
      </c>
      <c r="O32" s="1">
        <v>25</v>
      </c>
      <c r="P32" s="6" t="str">
        <f t="shared" si="0"/>
        <v>75.00</v>
      </c>
      <c r="Q32" s="6" t="str">
        <f t="shared" si="1"/>
        <v>25.00</v>
      </c>
      <c r="R32" s="5" t="str">
        <f t="shared" si="7"/>
        <v xml:space="preserve">  75.00,25.00</v>
      </c>
    </row>
    <row r="33"/>
    <row r="34"/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5"/>
  <dimension ref="A1:E69"/>
  <sheetViews>
    <sheetView tabSelected="1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 spans="1:5"/>
    <row r="2" spans="1:5"/>
    <row r="3" spans="1:5"/>
    <row r="4" spans="1:5"/>
    <row r="5" spans="1:5"/>
    <row r="6" spans="1:5">
      <c r="A6" t="s">
        <v>72</v>
      </c>
    </row>
    <row r="7" spans="1:5">
      <c r="B7" t="s">
        <v>73</v>
      </c>
      <c r="C7" t="s">
        <v>74</v>
      </c>
      <c r="D7" t="s">
        <v>74</v>
      </c>
      <c r="E7" t="s">
        <v>75</v>
      </c>
    </row>
    <row r="8" spans="1:5">
      <c r="A8" s="8" t="s">
        <v>76</v>
      </c>
      <c r="B8" s="7">
        <v>100</v>
      </c>
      <c r="C8" s="7">
        <v>87</v>
      </c>
      <c r="D8" s="7">
        <v>87</v>
      </c>
      <c r="E8" s="7">
        <v>93</v>
      </c>
    </row>
    <row r="9" spans="1:5">
      <c r="A9" s="8" t="s">
        <v>77</v>
      </c>
      <c r="B9" s="7">
        <v>0</v>
      </c>
      <c r="C9" s="7">
        <v>7</v>
      </c>
      <c r="D9" s="7">
        <v>11</v>
      </c>
      <c r="E9" s="7">
        <v>11</v>
      </c>
    </row>
    <row r="10" spans="1:5">
      <c r="A10" s="9" t="s">
        <v>76</v>
      </c>
      <c r="B10" s="1">
        <v>93</v>
      </c>
      <c r="C10" s="1">
        <v>97</v>
      </c>
      <c r="D10" s="1">
        <v>97</v>
      </c>
      <c r="E10" s="1">
        <v>90</v>
      </c>
    </row>
    <row r="11" spans="1:5">
      <c r="A11" s="9" t="s">
        <v>77</v>
      </c>
      <c r="B11" s="1">
        <v>11</v>
      </c>
      <c r="C11" s="1">
        <v>11</v>
      </c>
      <c r="D11" s="1">
        <v>14</v>
      </c>
      <c r="E11" s="1">
        <v>19</v>
      </c>
    </row>
    <row r="12" spans="1:5">
      <c r="A12" s="10" t="s">
        <v>76</v>
      </c>
      <c r="B12" s="6">
        <v>90</v>
      </c>
      <c r="C12" s="6">
        <v>83</v>
      </c>
      <c r="D12" s="6">
        <v>81</v>
      </c>
      <c r="E12" s="6">
        <v>82</v>
      </c>
    </row>
    <row r="13" spans="1:5">
      <c r="A13" s="10" t="s">
        <v>77</v>
      </c>
      <c r="B13" s="6">
        <v>19</v>
      </c>
      <c r="C13" s="6">
        <v>24</v>
      </c>
      <c r="D13" s="6">
        <v>23</v>
      </c>
      <c r="E13" s="6">
        <v>20</v>
      </c>
    </row>
    <row r="14" spans="1:5">
      <c r="A14" s="9" t="s">
        <v>76</v>
      </c>
      <c r="B14" s="1">
        <v>82</v>
      </c>
      <c r="C14" s="1">
        <v>83</v>
      </c>
      <c r="D14" s="1">
        <v>76</v>
      </c>
      <c r="E14" s="1">
        <v>75</v>
      </c>
    </row>
    <row r="15" spans="1:5">
      <c r="A15" s="9" t="s">
        <v>77</v>
      </c>
      <c r="B15" s="1">
        <v>20</v>
      </c>
      <c r="C15" s="1">
        <v>15</v>
      </c>
      <c r="D15" s="1">
        <v>18</v>
      </c>
      <c r="E15" s="1">
        <v>25</v>
      </c>
    </row>
    <row r="16" spans="1:5">
      <c r="B16">
        <v>0</v>
      </c>
      <c r="D16" s="4">
        <f>mLib.Bezier(B$8,C$8,D$8,E$8,$B16)</f>
        <v>100</v>
      </c>
      <c r="E16" s="4">
        <f>mLib.Bezier(B$9,C$9,D$9,E$9,$B16)</f>
        <v>0</v>
      </c>
    </row>
    <row r="17" spans="2:5">
      <c r="B17">
        <v>0.1</v>
      </c>
      <c r="D17" s="4">
        <f>mLib.Bezier(B$8,C$8,D$8,E$8,$B17)</f>
        <v>96.483000000000018</v>
      </c>
      <c r="E17" s="4">
        <f t="shared" ref="E17:E26" si="0">mLib.Bezier(B$9,C$9,D$9,E$9,$B17)</f>
        <v>2.0090000000000003</v>
      </c>
    </row>
    <row r="18" spans="2:5">
      <c r="B18">
        <v>0.2</v>
      </c>
      <c r="D18" s="4">
        <f t="shared" ref="D18:D26" si="1">mLib.Bezier(B$8,C$8,D$8,E$8,$B18)</f>
        <v>93.704000000000022</v>
      </c>
      <c r="E18" s="4">
        <f t="shared" si="0"/>
        <v>3.8320000000000007</v>
      </c>
    </row>
    <row r="19" spans="2:5">
      <c r="B19">
        <v>0.3</v>
      </c>
      <c r="D19" s="4">
        <f t="shared" si="1"/>
        <v>91.620999999999981</v>
      </c>
      <c r="E19" s="4">
        <f t="shared" si="0"/>
        <v>5.4629999999999992</v>
      </c>
    </row>
    <row r="20" spans="2:5">
      <c r="B20">
        <v>0.4</v>
      </c>
      <c r="D20" s="4">
        <f t="shared" si="1"/>
        <v>90.192000000000007</v>
      </c>
      <c r="E20" s="4">
        <f t="shared" si="0"/>
        <v>6.8960000000000008</v>
      </c>
    </row>
    <row r="21" spans="2:5">
      <c r="B21">
        <v>0.5</v>
      </c>
      <c r="D21" s="4">
        <f t="shared" si="1"/>
        <v>89.375</v>
      </c>
      <c r="E21" s="4">
        <f t="shared" si="0"/>
        <v>8.125</v>
      </c>
    </row>
    <row r="22" spans="2:5">
      <c r="B22">
        <v>0.6</v>
      </c>
      <c r="D22" s="4">
        <f t="shared" si="1"/>
        <v>89.128</v>
      </c>
      <c r="E22" s="4">
        <f t="shared" si="0"/>
        <v>9.1440000000000001</v>
      </c>
    </row>
    <row r="23" spans="2:5">
      <c r="B23">
        <v>0.7</v>
      </c>
      <c r="D23" s="4">
        <f t="shared" si="1"/>
        <v>89.409000000000006</v>
      </c>
      <c r="E23" s="4">
        <f t="shared" si="0"/>
        <v>9.9469999999999992</v>
      </c>
    </row>
    <row r="24" spans="2:5">
      <c r="B24">
        <v>0.8</v>
      </c>
      <c r="D24" s="4">
        <f t="shared" si="1"/>
        <v>90.176000000000002</v>
      </c>
      <c r="E24" s="4">
        <f t="shared" si="0"/>
        <v>10.528</v>
      </c>
    </row>
    <row r="25" spans="2:5">
      <c r="B25">
        <v>0.9</v>
      </c>
      <c r="D25" s="4">
        <f t="shared" si="1"/>
        <v>91.387</v>
      </c>
      <c r="E25" s="4">
        <f t="shared" si="0"/>
        <v>10.881</v>
      </c>
    </row>
    <row r="26" spans="2:5">
      <c r="B26">
        <v>1</v>
      </c>
      <c r="D26" s="4">
        <f t="shared" si="1"/>
        <v>93</v>
      </c>
      <c r="E26" s="4">
        <f t="shared" si="0"/>
        <v>11</v>
      </c>
    </row>
    <row r="27" spans="2:5">
      <c r="B27" s="1">
        <v>0</v>
      </c>
      <c r="D27" s="11">
        <f>mLib.Bezier(B$10,C$10,D$10,E$10,$B27)</f>
        <v>93</v>
      </c>
      <c r="E27" s="11">
        <f>mLib.Bezier(B$11,C$11,D$11,E$11,$B27)</f>
        <v>11</v>
      </c>
    </row>
    <row r="28" spans="2:5">
      <c r="B28" s="1">
        <v>0.1</v>
      </c>
      <c r="D28" s="11">
        <f t="shared" ref="D28:D37" si="2">mLib.Bezier(B$10,C$10,D$10,E$10,$B28)</f>
        <v>94.077000000000012</v>
      </c>
      <c r="E28" s="11">
        <f t="shared" ref="E28:E37" si="3">mLib.Bezier(B$11,C$11,D$11,E$11,$B28)</f>
        <v>11.089000000000002</v>
      </c>
    </row>
    <row r="29" spans="2:5">
      <c r="B29" s="1">
        <v>0.2</v>
      </c>
      <c r="D29" s="11">
        <f t="shared" si="2"/>
        <v>94.896000000000029</v>
      </c>
      <c r="E29" s="11">
        <f t="shared" si="3"/>
        <v>11.352000000000002</v>
      </c>
    </row>
    <row r="30" spans="2:5">
      <c r="B30" s="1">
        <v>0.3</v>
      </c>
      <c r="D30" s="11">
        <f t="shared" si="2"/>
        <v>95.438999999999979</v>
      </c>
      <c r="E30" s="11">
        <f t="shared" si="3"/>
        <v>11.782999999999998</v>
      </c>
    </row>
    <row r="31" spans="2:5">
      <c r="B31" s="1">
        <v>0.4</v>
      </c>
      <c r="D31" s="11">
        <f t="shared" si="2"/>
        <v>95.688000000000002</v>
      </c>
      <c r="E31" s="11">
        <f t="shared" si="3"/>
        <v>12.375999999999999</v>
      </c>
    </row>
    <row r="32" spans="2:5">
      <c r="B32" s="1">
        <v>0.5</v>
      </c>
      <c r="D32" s="11">
        <f t="shared" si="2"/>
        <v>95.625</v>
      </c>
      <c r="E32" s="11">
        <f t="shared" si="3"/>
        <v>13.125</v>
      </c>
    </row>
    <row r="33" spans="2:5">
      <c r="B33" s="1">
        <v>0.6</v>
      </c>
      <c r="D33" s="11">
        <f t="shared" si="2"/>
        <v>95.231999999999999</v>
      </c>
      <c r="E33" s="11">
        <f t="shared" si="3"/>
        <v>14.024000000000001</v>
      </c>
    </row>
    <row r="34" spans="2:5">
      <c r="B34" s="1">
        <v>0.7</v>
      </c>
      <c r="D34" s="11">
        <f t="shared" si="2"/>
        <v>94.491</v>
      </c>
      <c r="E34" s="11">
        <f t="shared" si="3"/>
        <v>15.067</v>
      </c>
    </row>
    <row r="35" spans="2:5">
      <c r="B35" s="1">
        <v>0.8</v>
      </c>
      <c r="D35" s="11">
        <f t="shared" si="2"/>
        <v>93.384</v>
      </c>
      <c r="E35" s="11">
        <f t="shared" si="3"/>
        <v>16.248000000000001</v>
      </c>
    </row>
    <row r="36" spans="2:5">
      <c r="B36" s="1">
        <v>0.9</v>
      </c>
      <c r="D36" s="11">
        <f t="shared" si="2"/>
        <v>91.893000000000001</v>
      </c>
      <c r="E36" s="11">
        <f t="shared" si="3"/>
        <v>17.561</v>
      </c>
    </row>
    <row r="37" spans="2:5">
      <c r="B37" s="1">
        <v>1</v>
      </c>
      <c r="D37" s="11">
        <f t="shared" si="2"/>
        <v>90</v>
      </c>
      <c r="E37" s="11">
        <f t="shared" si="3"/>
        <v>19</v>
      </c>
    </row>
    <row r="38" spans="2:5">
      <c r="B38">
        <v>0</v>
      </c>
      <c r="D38" s="4">
        <f>mLib.Bezier(B$12,C$12,D$12,E$12,$B38)</f>
        <v>90</v>
      </c>
      <c r="E38" s="4">
        <f>mLib.Bezier(B$13,C$13,D$13,E$13,$B38)</f>
        <v>19</v>
      </c>
    </row>
    <row r="39" spans="2:5">
      <c r="B39">
        <v>0.1</v>
      </c>
      <c r="D39" s="4">
        <f t="shared" ref="D39:D48" si="4">mLib.Bezier(B$12,C$12,D$12,E$12,$B39)</f>
        <v>88.048000000000016</v>
      </c>
      <c r="E39" s="4">
        <f t="shared" ref="E39:E48" si="5">mLib.Bezier(B$13,C$13,D$13,E$13,$B39)</f>
        <v>20.324000000000002</v>
      </c>
    </row>
    <row r="40" spans="2:5">
      <c r="B40">
        <v>0.2</v>
      </c>
      <c r="D40" s="4">
        <f t="shared" si="4"/>
        <v>86.384000000000015</v>
      </c>
      <c r="E40" s="4">
        <f t="shared" si="5"/>
        <v>21.312000000000005</v>
      </c>
    </row>
    <row r="41" spans="2:5">
      <c r="B41">
        <v>0.3</v>
      </c>
      <c r="D41" s="4">
        <f t="shared" si="4"/>
        <v>84.995999999999981</v>
      </c>
      <c r="E41" s="4">
        <f t="shared" si="5"/>
        <v>21.987999999999996</v>
      </c>
    </row>
    <row r="42" spans="2:5">
      <c r="B42">
        <v>0.4</v>
      </c>
      <c r="D42" s="4">
        <f t="shared" si="4"/>
        <v>83.872</v>
      </c>
      <c r="E42" s="4">
        <f t="shared" si="5"/>
        <v>22.376000000000001</v>
      </c>
    </row>
    <row r="43" spans="2:5">
      <c r="B43">
        <v>0.5</v>
      </c>
      <c r="D43" s="4">
        <f t="shared" si="4"/>
        <v>83</v>
      </c>
      <c r="E43" s="4">
        <f t="shared" si="5"/>
        <v>22.5</v>
      </c>
    </row>
    <row r="44" spans="2:5">
      <c r="B44">
        <v>0.6</v>
      </c>
      <c r="D44" s="4">
        <f t="shared" si="4"/>
        <v>82.368000000000009</v>
      </c>
      <c r="E44" s="4">
        <f t="shared" si="5"/>
        <v>22.384</v>
      </c>
    </row>
    <row r="45" spans="2:5">
      <c r="B45">
        <v>0.7</v>
      </c>
      <c r="D45" s="4">
        <f t="shared" si="4"/>
        <v>81.963999999999999</v>
      </c>
      <c r="E45" s="4">
        <f t="shared" si="5"/>
        <v>22.052</v>
      </c>
    </row>
    <row r="46" spans="2:5">
      <c r="B46">
        <v>0.8</v>
      </c>
      <c r="D46" s="4">
        <f t="shared" si="4"/>
        <v>81.775999999999996</v>
      </c>
      <c r="E46" s="4">
        <f t="shared" si="5"/>
        <v>21.527999999999999</v>
      </c>
    </row>
    <row r="47" spans="2:5">
      <c r="B47">
        <v>0.9</v>
      </c>
      <c r="D47" s="4">
        <f t="shared" si="4"/>
        <v>81.792000000000002</v>
      </c>
      <c r="E47" s="4">
        <f t="shared" si="5"/>
        <v>20.835999999999999</v>
      </c>
    </row>
    <row r="48" spans="2:5">
      <c r="B48">
        <v>1</v>
      </c>
      <c r="D48" s="4">
        <f t="shared" si="4"/>
        <v>82</v>
      </c>
      <c r="E48" s="4">
        <f t="shared" si="5"/>
        <v>20</v>
      </c>
    </row>
    <row r="49" spans="2:5">
      <c r="B49" s="1">
        <v>0</v>
      </c>
      <c r="D49" s="11">
        <f>mLib.Bezier(B$14,C$14,D$14,E$14,$B49)</f>
        <v>82</v>
      </c>
      <c r="E49" s="11">
        <f>mLib.Bezier(B$15,C$15,D$15,E$15,$B49)</f>
        <v>20</v>
      </c>
    </row>
    <row r="50" spans="2:5">
      <c r="B50" s="1">
        <v>0.1</v>
      </c>
      <c r="D50" s="11">
        <f t="shared" ref="D50:D59" si="6">mLib.Bezier(B$14,C$14,D$14,E$14,$B50)</f>
        <v>82.074000000000012</v>
      </c>
      <c r="E50" s="11">
        <f t="shared" ref="E50:E59" si="7">mLib.Bezier(B$15,C$15,D$15,E$15,$B50)</f>
        <v>18.736000000000001</v>
      </c>
    </row>
    <row r="51" spans="2:5">
      <c r="B51" s="1">
        <v>0.2</v>
      </c>
      <c r="D51" s="11">
        <f t="shared" si="6"/>
        <v>81.752000000000024</v>
      </c>
      <c r="E51" s="11">
        <f t="shared" si="7"/>
        <v>17.928000000000004</v>
      </c>
    </row>
    <row r="52" spans="2:5">
      <c r="B52" s="1">
        <v>0.3</v>
      </c>
      <c r="D52" s="11">
        <f t="shared" si="6"/>
        <v>81.117999999999981</v>
      </c>
      <c r="E52" s="11">
        <f t="shared" si="7"/>
        <v>17.551999999999996</v>
      </c>
    </row>
    <row r="53" spans="2:5">
      <c r="B53" s="1">
        <v>0.4</v>
      </c>
      <c r="D53" s="11">
        <f t="shared" si="6"/>
        <v>80.256</v>
      </c>
      <c r="E53" s="11">
        <f t="shared" si="7"/>
        <v>17.584</v>
      </c>
    </row>
    <row r="54" spans="2:5">
      <c r="B54" s="1">
        <v>0.5</v>
      </c>
      <c r="D54" s="11">
        <f t="shared" si="6"/>
        <v>79.25</v>
      </c>
      <c r="E54" s="11">
        <f t="shared" si="7"/>
        <v>18</v>
      </c>
    </row>
    <row r="55" spans="2:5">
      <c r="B55" s="1">
        <v>0.6</v>
      </c>
      <c r="D55" s="11">
        <f t="shared" si="6"/>
        <v>78.183999999999997</v>
      </c>
      <c r="E55" s="11">
        <f t="shared" si="7"/>
        <v>18.776</v>
      </c>
    </row>
    <row r="56" spans="2:5">
      <c r="B56" s="1">
        <v>0.7</v>
      </c>
      <c r="D56" s="11">
        <f t="shared" si="6"/>
        <v>77.141999999999996</v>
      </c>
      <c r="E56" s="11">
        <f t="shared" si="7"/>
        <v>19.887999999999998</v>
      </c>
    </row>
    <row r="57" spans="2:5">
      <c r="B57" s="1">
        <v>0.8</v>
      </c>
      <c r="D57" s="11">
        <f t="shared" si="6"/>
        <v>76.207999999999998</v>
      </c>
      <c r="E57" s="11">
        <f t="shared" si="7"/>
        <v>21.312000000000001</v>
      </c>
    </row>
    <row r="58" spans="2:5">
      <c r="B58" s="1">
        <v>0.9</v>
      </c>
      <c r="D58" s="11">
        <f t="shared" si="6"/>
        <v>75.465999999999994</v>
      </c>
      <c r="E58" s="11">
        <f t="shared" si="7"/>
        <v>23.024000000000001</v>
      </c>
    </row>
    <row r="59" spans="2:5">
      <c r="B59" s="1">
        <v>1</v>
      </c>
      <c r="D59" s="11">
        <f t="shared" si="6"/>
        <v>75</v>
      </c>
      <c r="E59" s="11">
        <f t="shared" si="7"/>
        <v>25</v>
      </c>
    </row>
    <row r="60" spans="2:5"/>
    <row r="61" spans="2:5"/>
    <row r="62" spans="2:5"/>
    <row r="63" spans="2:5"/>
    <row r="64" spans="2:5"/>
    <row r="65"/>
    <row r="66"/>
    <row r="67"/>
    <row r="68"/>
    <row r="69"/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3"/>
  <dimension ref="A1:K68"/>
  <sheetViews>
    <sheetView workbookViewId="0"/>
  </sheetViews>
  <sheetFormatPr defaultColWidth="0" defaultRowHeight="15" zeroHeight="1"/>
  <cols>
    <col min="1" max="11" width="9.140625" customWidth="1"/>
    <col min="12" max="16384" width="9.140625" hidden="1"/>
  </cols>
  <sheetData>
    <row r="1" spans="1:2">
      <c r="A1" t="str">
        <f>CONCATENATE(B4&amp;CHAR(10),tSVG,tDEFS,tMETA,A54)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</v>
      </c>
    </row>
    <row r="2" spans="1:2">
      <c r="A2" t="str">
        <f>A65</f>
        <v xml:space="preserve">  &lt;/g&gt;&lt;/svg&gt;</v>
      </c>
    </row>
    <row r="3" spans="1:2">
      <c r="A3" t="s">
        <v>61</v>
      </c>
    </row>
    <row r="4" spans="1:2">
      <c r="B4" s="1" t="s">
        <v>0</v>
      </c>
    </row>
    <row r="5" spans="1:2">
      <c r="B5" s="1" t="s">
        <v>1</v>
      </c>
    </row>
    <row r="6" spans="1:2">
      <c r="B6" s="1"/>
    </row>
    <row r="7" spans="1:2">
      <c r="A7" s="3" t="str">
        <f>CONCATENATE(B7,B8,B9,B10,B11,B12,B13,B14,B15,B16,B17,B18,B19,B20,B21)</f>
        <v>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</v>
      </c>
      <c r="B7" s="1" t="s">
        <v>2</v>
      </c>
    </row>
    <row r="8" spans="1:2">
      <c r="B8" s="1" t="s">
        <v>3</v>
      </c>
    </row>
    <row r="9" spans="1:2">
      <c r="B9" s="1" t="s">
        <v>4</v>
      </c>
    </row>
    <row r="10" spans="1:2">
      <c r="B10" s="1" t="s">
        <v>5</v>
      </c>
    </row>
    <row r="11" spans="1:2">
      <c r="B11" s="1" t="s">
        <v>6</v>
      </c>
    </row>
    <row r="12" spans="1:2">
      <c r="B12" s="1" t="s">
        <v>7</v>
      </c>
    </row>
    <row r="13" spans="1:2">
      <c r="B13" s="1" t="s">
        <v>8</v>
      </c>
    </row>
    <row r="14" spans="1:2">
      <c r="B14" s="1" t="s">
        <v>9</v>
      </c>
    </row>
    <row r="15" spans="1:2">
      <c r="B15" s="1" t="s">
        <v>10</v>
      </c>
    </row>
    <row r="16" spans="1:2">
      <c r="B16" s="1" t="s">
        <v>11</v>
      </c>
    </row>
    <row r="17" spans="1:2">
      <c r="B17" s="1" t="s">
        <v>12</v>
      </c>
    </row>
    <row r="18" spans="1:2">
      <c r="B18" s="1" t="s">
        <v>13</v>
      </c>
    </row>
    <row r="19" spans="1:2">
      <c r="B19" s="1" t="s">
        <v>14</v>
      </c>
    </row>
    <row r="20" spans="1:2">
      <c r="B20" s="1" t="s">
        <v>15</v>
      </c>
    </row>
    <row r="21" spans="1:2">
      <c r="B21" s="1" t="str">
        <f>CONCATENATE("   sodipodi:docname=""",A3,".svg""","&gt;")</f>
        <v xml:space="preserve">   sodipodi:docname="espelho11.svg"&gt;</v>
      </c>
    </row>
    <row r="22" spans="1:2">
      <c r="A22" s="3" t="str">
        <f>CONCATENATE(B22,B23,B24,B25,B26,B27,B28,B29,B30,B31,B32,B33,B34,B35,B36,B37,B38,B39,B40,B41)</f>
        <v xml:space="preserve">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</v>
      </c>
      <c r="B22" s="1" t="s">
        <v>16</v>
      </c>
    </row>
    <row r="23" spans="1:2">
      <c r="B23" s="1" t="s">
        <v>17</v>
      </c>
    </row>
    <row r="24" spans="1:2">
      <c r="B24" s="1" t="s">
        <v>18</v>
      </c>
    </row>
    <row r="25" spans="1:2">
      <c r="B25" s="1" t="s">
        <v>19</v>
      </c>
    </row>
    <row r="26" spans="1:2">
      <c r="B26" s="1" t="s">
        <v>20</v>
      </c>
    </row>
    <row r="27" spans="1:2">
      <c r="B27" s="1" t="s">
        <v>21</v>
      </c>
    </row>
    <row r="28" spans="1:2">
      <c r="B28" s="1" t="s">
        <v>22</v>
      </c>
    </row>
    <row r="29" spans="1:2">
      <c r="B29" s="1" t="s">
        <v>23</v>
      </c>
    </row>
    <row r="30" spans="1:2">
      <c r="B30" s="1" t="s">
        <v>24</v>
      </c>
    </row>
    <row r="31" spans="1:2">
      <c r="B31" s="1" t="s">
        <v>25</v>
      </c>
    </row>
    <row r="32" spans="1:2">
      <c r="B32" s="1" t="s">
        <v>26</v>
      </c>
    </row>
    <row r="33" spans="1:2">
      <c r="B33" s="1" t="s">
        <v>27</v>
      </c>
    </row>
    <row r="34" spans="1:2">
      <c r="B34" s="1" t="s">
        <v>28</v>
      </c>
    </row>
    <row r="35" spans="1:2">
      <c r="B35" s="1" t="s">
        <v>29</v>
      </c>
    </row>
    <row r="36" spans="1:2">
      <c r="B36" s="1" t="s">
        <v>30</v>
      </c>
    </row>
    <row r="37" spans="1:2">
      <c r="B37" s="1" t="s">
        <v>31</v>
      </c>
    </row>
    <row r="38" spans="1:2">
      <c r="B38" s="1" t="s">
        <v>32</v>
      </c>
    </row>
    <row r="39" spans="1:2">
      <c r="B39" s="1" t="s">
        <v>33</v>
      </c>
    </row>
    <row r="40" spans="1:2">
      <c r="B40" s="1" t="s">
        <v>34</v>
      </c>
    </row>
    <row r="41" spans="1:2">
      <c r="B41" s="1" t="s">
        <v>35</v>
      </c>
    </row>
    <row r="42" spans="1:2">
      <c r="A42" s="3" t="str">
        <f>CONCATENATE(B42,B43,B44,B45,B46,B47,B48,B49,B50,B51,B52,B53)</f>
        <v xml:space="preserve">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</v>
      </c>
      <c r="B42" s="1" t="s">
        <v>36</v>
      </c>
    </row>
    <row r="43" spans="1:2">
      <c r="B43" s="1" t="s">
        <v>37</v>
      </c>
    </row>
    <row r="44" spans="1:2">
      <c r="B44" s="1" t="s">
        <v>38</v>
      </c>
    </row>
    <row r="45" spans="1:2">
      <c r="B45" s="1" t="s">
        <v>39</v>
      </c>
    </row>
    <row r="46" spans="1:2">
      <c r="B46" s="1" t="s">
        <v>40</v>
      </c>
    </row>
    <row r="47" spans="1:2">
      <c r="B47" s="1" t="s">
        <v>41</v>
      </c>
    </row>
    <row r="48" spans="1:2">
      <c r="B48" s="1" t="s">
        <v>42</v>
      </c>
    </row>
    <row r="49" spans="1:2">
      <c r="B49" s="1" t="s">
        <v>43</v>
      </c>
    </row>
    <row r="50" spans="1:2">
      <c r="B50" s="1" t="s">
        <v>44</v>
      </c>
    </row>
    <row r="51" spans="1:2">
      <c r="B51" s="1" t="s">
        <v>45</v>
      </c>
    </row>
    <row r="52" spans="1:2">
      <c r="B52" s="1" t="s">
        <v>46</v>
      </c>
    </row>
    <row r="53" spans="1:2">
      <c r="B53" s="1" t="s">
        <v>47</v>
      </c>
    </row>
    <row r="54" spans="1:2">
      <c r="A54" s="3" t="str">
        <f>CONCATENATE(B54,B55,B56,B57)</f>
        <v xml:space="preserve">  &lt;g     inkscape:label="Layer 1"     inkscape:groupmode="layer"     id="layer1"&gt;</v>
      </c>
      <c r="B54" s="1" t="s">
        <v>48</v>
      </c>
    </row>
    <row r="55" spans="1:2">
      <c r="B55" s="1" t="s">
        <v>49</v>
      </c>
    </row>
    <row r="56" spans="1:2">
      <c r="B56" s="1" t="s">
        <v>50</v>
      </c>
    </row>
    <row r="57" spans="1:2">
      <c r="B57" t="s">
        <v>62</v>
      </c>
    </row>
    <row r="58" spans="1:2"/>
    <row r="59" spans="1:2"/>
    <row r="60" spans="1:2"/>
    <row r="61" spans="1:2"/>
    <row r="62" spans="1:2"/>
    <row r="63" spans="1:2"/>
    <row r="64" spans="1:2"/>
    <row r="65" spans="1:2">
      <c r="A65" s="3" t="str">
        <f>CONCATENATE(B65,B66)</f>
        <v xml:space="preserve">  &lt;/g&gt;&lt;/svg&gt;</v>
      </c>
      <c r="B65" s="2" t="s">
        <v>51</v>
      </c>
    </row>
    <row r="66" spans="1:2">
      <c r="B66" s="2" t="s">
        <v>52</v>
      </c>
    </row>
    <row r="67" spans="1:2"/>
    <row r="68" spans="1: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18</vt:i4>
      </vt:variant>
    </vt:vector>
  </HeadingPairs>
  <TitlesOfParts>
    <vt:vector size="23" baseType="lpstr">
      <vt:lpstr>Лист1</vt:lpstr>
      <vt:lpstr>Лист2</vt:lpstr>
      <vt:lpstr>Лист3</vt:lpstr>
      <vt:lpstr>Лист4</vt:lpstr>
      <vt:lpstr>xml</vt:lpstr>
      <vt:lpstr>_T00</vt:lpstr>
      <vt:lpstr>_T01</vt:lpstr>
      <vt:lpstr>_T02</vt:lpstr>
      <vt:lpstr>_T03</vt:lpstr>
      <vt:lpstr>_T11</vt:lpstr>
      <vt:lpstr>_T12</vt:lpstr>
      <vt:lpstr>_T13</vt:lpstr>
      <vt:lpstr>_T21</vt:lpstr>
      <vt:lpstr>_T22</vt:lpstr>
      <vt:lpstr>_T23</vt:lpstr>
      <vt:lpstr>_T31</vt:lpstr>
      <vt:lpstr>_T32</vt:lpstr>
      <vt:lpstr>_T33</vt:lpstr>
      <vt:lpstr>_XMLbeg</vt:lpstr>
      <vt:lpstr>_XMLend</vt:lpstr>
      <vt:lpstr>tDEFS</vt:lpstr>
      <vt:lpstr>tMETA</vt:lpstr>
      <vt:lpstr>tSVG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Ольга Бледнова</cp:lastModifiedBy>
  <dcterms:created xsi:type="dcterms:W3CDTF">2020-05-03T10:28:22Z</dcterms:created>
  <dcterms:modified xsi:type="dcterms:W3CDTF">2020-05-08T10:31:20Z</dcterms:modified>
</cp:coreProperties>
</file>