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75" windowWidth="20115" windowHeight="7755" activeTab="2"/>
  </bookViews>
  <sheets>
    <sheet name="Лист1" sheetId="1" r:id="rId1"/>
    <sheet name="Лист2" sheetId="2" r:id="rId2"/>
    <sheet name="Лист3" sheetId="4" r:id="rId3"/>
    <sheet name="xml" sheetId="3" r:id="rId4"/>
  </sheets>
  <definedNames>
    <definedName name="_T00">Лист3!$R$20</definedName>
    <definedName name="_T01">Лист3!$R$21</definedName>
    <definedName name="_T02">Лист3!$R$22</definedName>
    <definedName name="_T03">Лист3!$R$23</definedName>
    <definedName name="_T11">Лист3!$R$24</definedName>
    <definedName name="_T12">Лист3!$R$25</definedName>
    <definedName name="_T13">Лист3!$R$26</definedName>
    <definedName name="_T21">Лист3!$R$27</definedName>
    <definedName name="_T22">Лист3!$R$28</definedName>
    <definedName name="_T23">Лист3!$R$29</definedName>
    <definedName name="_T31">Лист3!$R$30</definedName>
    <definedName name="_T32">Лист3!$R$31</definedName>
    <definedName name="_T33">Лист3!$R$32</definedName>
    <definedName name="_XMLbeg">xml!$A$1</definedName>
    <definedName name="_XMLend">xml!$A$2</definedName>
    <definedName name="tDEFS">xml!$A$22</definedName>
    <definedName name="tMETA">xml!$A$42</definedName>
    <definedName name="tSVG">xml!$A$7</definedName>
  </definedNames>
  <calcPr calcId="125725"/>
</workbook>
</file>

<file path=xl/calcChain.xml><?xml version="1.0" encoding="utf-8"?>
<calcChain xmlns="http://schemas.openxmlformats.org/spreadsheetml/2006/main">
  <c r="R31" i="4"/>
  <c r="R32"/>
  <c r="R28"/>
  <c r="R29"/>
  <c r="R27"/>
  <c r="R25"/>
  <c r="R26"/>
  <c r="R24"/>
  <c r="R22"/>
  <c r="R23"/>
  <c r="R21"/>
  <c r="R20"/>
  <c r="P21"/>
  <c r="Q21"/>
  <c r="P22"/>
  <c r="Q22"/>
  <c r="P23"/>
  <c r="Q23"/>
  <c r="P24"/>
  <c r="Q24"/>
  <c r="P25"/>
  <c r="Q25"/>
  <c r="P26"/>
  <c r="Q26"/>
  <c r="P27"/>
  <c r="Q27"/>
  <c r="P28"/>
  <c r="Q28"/>
  <c r="P29"/>
  <c r="Q29"/>
  <c r="P30"/>
  <c r="Q30"/>
  <c r="R30" s="1"/>
  <c r="J7" s="1"/>
  <c r="J4" s="1"/>
  <c r="J3" s="1"/>
  <c r="J2" s="1"/>
  <c r="P31"/>
  <c r="Q31"/>
  <c r="P32"/>
  <c r="Q32"/>
  <c r="Q20"/>
  <c r="P20"/>
  <c r="H31"/>
  <c r="I31"/>
  <c r="H32"/>
  <c r="I32"/>
  <c r="I30"/>
  <c r="H30"/>
  <c r="H28"/>
  <c r="I28"/>
  <c r="H29"/>
  <c r="I29"/>
  <c r="I27"/>
  <c r="H27"/>
  <c r="H25"/>
  <c r="I25"/>
  <c r="H26"/>
  <c r="I26"/>
  <c r="I24"/>
  <c r="H24"/>
  <c r="H22"/>
  <c r="I22"/>
  <c r="H23"/>
  <c r="I23"/>
  <c r="I21"/>
  <c r="H21"/>
  <c r="J4" i="2"/>
  <c r="J3" s="1"/>
  <c r="J2" s="1"/>
  <c r="B21" i="3"/>
  <c r="A54"/>
  <c r="A1"/>
  <c r="A7"/>
  <c r="I5" i="1"/>
  <c r="J15" s="1"/>
  <c r="J11" s="1"/>
  <c r="I4"/>
  <c r="J7" s="1"/>
  <c r="J3" s="1"/>
  <c r="A2" i="3"/>
  <c r="A65"/>
  <c r="A42"/>
  <c r="A22"/>
  <c r="J2" i="1" l="1"/>
</calcChain>
</file>

<file path=xl/sharedStrings.xml><?xml version="1.0" encoding="utf-8"?>
<sst xmlns="http://schemas.openxmlformats.org/spreadsheetml/2006/main" count="85" uniqueCount="72">
  <si>
    <t>&lt;?xml version="1.0" encoding="UTF-8" standalone="no"?&gt;</t>
  </si>
  <si>
    <t>&lt;!-- Created with Inkscape (http://www.inkscape.org/) --&gt;</t>
  </si>
  <si>
    <t>&lt;svg</t>
  </si>
  <si>
    <t xml:space="preserve">   xmlns:dc="http://purl.org/dc/elements/1.1/"</t>
  </si>
  <si>
    <t xml:space="preserve">   xmlns:cc="http://creativecommons.org/ns#"</t>
  </si>
  <si>
    <t xml:space="preserve">   xmlns:rdf="http://www.w3.org/1999/02/22-rdf-syntax-ns#"</t>
  </si>
  <si>
    <t xml:space="preserve">   xmlns:svg="http://www.w3.org/2000/svg"</t>
  </si>
  <si>
    <t xml:space="preserve">   xmlns="http://www.w3.org/2000/svg"</t>
  </si>
  <si>
    <t xml:space="preserve">   xmlns:sodipodi="http://sodipodi.sourceforge.net/DTD/sodipodi-0.dtd"</t>
  </si>
  <si>
    <t xml:space="preserve">   xmlns:inkscape="http://www.inkscape.org/namespaces/inkscape"</t>
  </si>
  <si>
    <t xml:space="preserve">   width="210mm"</t>
  </si>
  <si>
    <t xml:space="preserve">   height="297mm"</t>
  </si>
  <si>
    <t xml:space="preserve">   viewBox="0 0 210 297"</t>
  </si>
  <si>
    <t xml:space="preserve">   version="1.1"</t>
  </si>
  <si>
    <t xml:space="preserve">   id="svg8"</t>
  </si>
  <si>
    <t xml:space="preserve">   inkscape:version="0.92.5 (2060ec1f9f, 2020-04-08)"</t>
  </si>
  <si>
    <t xml:space="preserve">  &lt;defs</t>
  </si>
  <si>
    <t xml:space="preserve">     id="defs2" /&gt;</t>
  </si>
  <si>
    <t xml:space="preserve">  &lt;sodipodi:namedview</t>
  </si>
  <si>
    <t xml:space="preserve">     id="base"</t>
  </si>
  <si>
    <t xml:space="preserve">     pagecolor="#ffffff"</t>
  </si>
  <si>
    <t xml:space="preserve">     bordercolor="#666666"</t>
  </si>
  <si>
    <t xml:space="preserve">     borderopacity="1.0"</t>
  </si>
  <si>
    <t xml:space="preserve">     inkscape:pageopacity="0.0"</t>
  </si>
  <si>
    <t xml:space="preserve">     inkscape:pageshadow="2"</t>
  </si>
  <si>
    <t xml:space="preserve">     inkscape:zoom="4.7"</t>
  </si>
  <si>
    <t xml:space="preserve">     inkscape:cx="3.4e+02"</t>
  </si>
  <si>
    <t xml:space="preserve">     inkscape:cy="1.1e+03"</t>
  </si>
  <si>
    <t xml:space="preserve">     inkscape:document-units="mm"</t>
  </si>
  <si>
    <t xml:space="preserve">     inkscape:current-layer="layer1"</t>
  </si>
  <si>
    <t xml:space="preserve">     showgrid="false"</t>
  </si>
  <si>
    <t xml:space="preserve">     inkscape:window-width="1366"</t>
  </si>
  <si>
    <t xml:space="preserve">     inkscape:window-height="705"</t>
  </si>
  <si>
    <t xml:space="preserve">     inkscape:window-x="-8"</t>
  </si>
  <si>
    <t xml:space="preserve">     inkscape:window-y="-8"</t>
  </si>
  <si>
    <t xml:space="preserve">     inkscape:window-maximized="1" /&gt;</t>
  </si>
  <si>
    <t xml:space="preserve">  &lt;metadata</t>
  </si>
  <si>
    <t xml:space="preserve">     id="metadata5"&gt;</t>
  </si>
  <si>
    <t xml:space="preserve">    &lt;rdf:RDF&gt;</t>
  </si>
  <si>
    <t xml:space="preserve">      &lt;cc:Work</t>
  </si>
  <si>
    <t xml:space="preserve">         rdf:about=""&gt;</t>
  </si>
  <si>
    <t xml:space="preserve">        &lt;dc:format&gt;image/svg+xml&lt;/dc:format&gt;</t>
  </si>
  <si>
    <t xml:space="preserve">        &lt;dc:type</t>
  </si>
  <si>
    <t xml:space="preserve">           rdf:resource="http://purl.org/dc/dcmitype/StillImage" /&gt;</t>
  </si>
  <si>
    <t xml:space="preserve">        &lt;dc:title /&gt;</t>
  </si>
  <si>
    <t xml:space="preserve">      &lt;/cc:Work&gt;</t>
  </si>
  <si>
    <t xml:space="preserve">    &lt;/rdf:RDF&gt;</t>
  </si>
  <si>
    <t xml:space="preserve">  &lt;/metadata&gt;</t>
  </si>
  <si>
    <t xml:space="preserve">  &lt;g</t>
  </si>
  <si>
    <t xml:space="preserve">     inkscape:label="Layer 1"</t>
  </si>
  <si>
    <t xml:space="preserve">     inkscape:groupmode="layer"</t>
  </si>
  <si>
    <t xml:space="preserve">  &lt;/g&gt;</t>
  </si>
  <si>
    <t>&lt;/svg&gt;</t>
  </si>
  <si>
    <t>&lt;path</t>
  </si>
  <si>
    <t xml:space="preserve">       style="fill:none;stroke:#000000;stroke-width:0.26px;stroke-linecap:butt;stroke-linejoin:miter;stroke-opacity:1"</t>
  </si>
  <si>
    <t xml:space="preserve">       id="path10"</t>
  </si>
  <si>
    <t xml:space="preserve">       inkscape:connector-curvature="0" /&gt;</t>
  </si>
  <si>
    <t xml:space="preserve">    &lt;path</t>
  </si>
  <si>
    <t xml:space="preserve">       id="path12"</t>
  </si>
  <si>
    <t>L</t>
  </si>
  <si>
    <t>W</t>
  </si>
  <si>
    <t>espelho11</t>
  </si>
  <si>
    <t xml:space="preserve">     id="layer1"&gt;</t>
  </si>
  <si>
    <t>espelho12</t>
  </si>
  <si>
    <t xml:space="preserve">       id="path16"</t>
  </si>
  <si>
    <t xml:space="preserve">       inkscape:connector-curvature="0"</t>
  </si>
  <si>
    <t xml:space="preserve">       sodipodi:nodetypes="cc" /&gt;</t>
  </si>
  <si>
    <t xml:space="preserve">       d="M 100.00, 0.00   C 87.00, 7.00    87.00, 11.00    93.00, 11.00"</t>
  </si>
  <si>
    <t>espelho13</t>
  </si>
  <si>
    <t xml:space="preserve">       id="path13"</t>
  </si>
  <si>
    <t xml:space="preserve">       sodipodi:nodetypes="cszsc" /&gt;</t>
  </si>
  <si>
    <t xml:space="preserve">       d="m 100,0 c -13,7      -13,11     -7,11    ||  4,0     4,3     -3,8   ||  -7,5    -9,4     -8,1  ||  1,-5     -6,-2     -7,5"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</si>
</sst>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2" fontId="0" fillId="0" borderId="0" xfId="0" applyNumberFormat="1"/>
    <xf numFmtId="0" fontId="0" fillId="5" borderId="0" xfId="0" applyFill="1"/>
    <xf numFmtId="0" fontId="0" fillId="6" borderId="0" xfId="0" applyFill="1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238126</xdr:colOff>
      <xdr:row>0</xdr:row>
      <xdr:rowOff>180976</xdr:rowOff>
    </xdr:from>
    <xdr:to>
      <xdr:col>5</xdr:col>
      <xdr:colOff>266700</xdr:colOff>
      <xdr:row>17</xdr:row>
      <xdr:rowOff>176296</xdr:rowOff>
    </xdr:to>
    <xdr:pic>
      <xdr:nvPicPr>
        <xdr:cNvPr id="2" name="Рисунок 1" descr="Espelo1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8126" y="180976"/>
          <a:ext cx="3076574" cy="32338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1</xdr:row>
      <xdr:rowOff>104775</xdr:rowOff>
    </xdr:from>
    <xdr:to>
      <xdr:col>8</xdr:col>
      <xdr:colOff>114300</xdr:colOff>
      <xdr:row>17</xdr:row>
      <xdr:rowOff>152400</xdr:rowOff>
    </xdr:to>
    <xdr:pic>
      <xdr:nvPicPr>
        <xdr:cNvPr id="2" name="Рисунок 1" descr="cubic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295275"/>
          <a:ext cx="4876800" cy="3095625"/>
        </a:xfrm>
        <a:prstGeom prst="rect">
          <a:avLst/>
        </a:prstGeom>
      </xdr:spPr>
    </xdr:pic>
    <xdr:clientData/>
  </xdr:twoCellAnchor>
  <xdr:twoCellAnchor editAs="oneCell">
    <xdr:from>
      <xdr:col>9</xdr:col>
      <xdr:colOff>295275</xdr:colOff>
      <xdr:row>11</xdr:row>
      <xdr:rowOff>85724</xdr:rowOff>
    </xdr:from>
    <xdr:to>
      <xdr:col>14</xdr:col>
      <xdr:colOff>245633</xdr:colOff>
      <xdr:row>18</xdr:row>
      <xdr:rowOff>152399</xdr:rowOff>
    </xdr:to>
    <xdr:pic>
      <xdr:nvPicPr>
        <xdr:cNvPr id="4" name="Рисунок 3" descr="Espelho2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781675" y="2181224"/>
          <a:ext cx="2998358" cy="14001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2</xdr:row>
      <xdr:rowOff>19051</xdr:rowOff>
    </xdr:from>
    <xdr:to>
      <xdr:col>6</xdr:col>
      <xdr:colOff>342900</xdr:colOff>
      <xdr:row>20</xdr:row>
      <xdr:rowOff>49879</xdr:rowOff>
    </xdr:to>
    <xdr:pic>
      <xdr:nvPicPr>
        <xdr:cNvPr id="2" name="Рисунок 1" descr="Espelho3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23825" y="400051"/>
          <a:ext cx="3876675" cy="34598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G1:K22"/>
  <sheetViews>
    <sheetView workbookViewId="0">
      <selection activeCell="I4" sqref="I4"/>
    </sheetView>
  </sheetViews>
  <sheetFormatPr defaultRowHeight="15" zeroHeight="1"/>
  <sheetData>
    <row r="1" spans="7:11">
      <c r="K1" t="s">
        <v>61</v>
      </c>
    </row>
    <row r="2" spans="7:11">
      <c r="J2" s="1" t="str">
        <f>CONCATENATE(_XMLbeg,J3,J11,_XMLend)</f>
        <v>&lt;?xml version="1.0" encoding="UTF-8" standalone="no"?&gt;
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  &lt;g     inkscape:label="Layer 1"     inkscape:groupmode="layer"     id="layer1"&gt;&lt;path       style="fill:none;stroke:#000000;stroke-width:0.26px;stroke-linecap:butt;stroke-linejoin:miter;stroke-opacity:1"       d="M 0.00, 0.00 H 100.00 V  100.00 H 0.00 Z"       id="path10"       inkscape:connector-curvature="0" /&gt;    &lt;path       style="fill:none;stroke:#000000;stroke-width:0.26px;stroke-linecap:butt;stroke-linejoin:miter;stroke-opacity:1"       d="M 25,  25 H 75.00 V  75.00 H 25 Z"       id="path12"       inkscape:connector-curvature="0" /&gt;  &lt;/g&gt;&lt;/svg&gt;</v>
      </c>
    </row>
    <row r="3" spans="7:11">
      <c r="J3" s="3" t="str">
        <f>CONCATENATE(J5,J6,J7,J8,J9)</f>
        <v>&lt;path       style="fill:none;stroke:#000000;stroke-width:0.26px;stroke-linecap:butt;stroke-linejoin:miter;stroke-opacity:1"       d="M 0.00, 0.00 H 100.00 V  100.00 H 0.00 Z"       id="path10"       inkscape:connector-curvature="0" /&gt;</v>
      </c>
    </row>
    <row r="4" spans="7:11">
      <c r="G4" t="s">
        <v>59</v>
      </c>
      <c r="H4" s="4">
        <v>50</v>
      </c>
      <c r="I4" s="4" t="str">
        <f>SUBSTITUTE(TEXT(2*H5+H4,"#,00"),",",".")</f>
        <v>100.00</v>
      </c>
    </row>
    <row r="5" spans="7:11">
      <c r="G5" t="s">
        <v>60</v>
      </c>
      <c r="H5" s="4">
        <v>25</v>
      </c>
      <c r="I5" s="4" t="str">
        <f>SUBSTITUTE(TEXT(H4+H5,"0,00"),",",".")</f>
        <v>75.00</v>
      </c>
      <c r="J5" t="s">
        <v>53</v>
      </c>
    </row>
    <row r="6" spans="7:11">
      <c r="J6" t="s">
        <v>54</v>
      </c>
    </row>
    <row r="7" spans="7:11">
      <c r="J7" t="str">
        <f>"       d=""M 0.00, 0.00 H " &amp; I4 &amp; " V  " &amp; I4 &amp; " H 0.00 Z"""</f>
        <v xml:space="preserve">       d="M 0.00, 0.00 H 100.00 V  100.00 H 0.00 Z"</v>
      </c>
    </row>
    <row r="8" spans="7:11">
      <c r="G8">
        <v>25</v>
      </c>
      <c r="J8" t="s">
        <v>55</v>
      </c>
    </row>
    <row r="9" spans="7:11">
      <c r="J9" t="s">
        <v>56</v>
      </c>
    </row>
    <row r="10" spans="7:11"/>
    <row r="11" spans="7:11">
      <c r="J11" s="3" t="str">
        <f>CONCATENATE(J13,J14,J15,J16,J17)</f>
        <v xml:space="preserve">    &lt;path       style="fill:none;stroke:#000000;stroke-width:0.26px;stroke-linecap:butt;stroke-linejoin:miter;stroke-opacity:1"       d="M 25,  25 H 75.00 V  75.00 H 25 Z"       id="path12"       inkscape:connector-curvature="0" /&gt;</v>
      </c>
    </row>
    <row r="12" spans="7:11"/>
    <row r="13" spans="7:11">
      <c r="J13" t="s">
        <v>57</v>
      </c>
    </row>
    <row r="14" spans="7:11">
      <c r="J14" t="s">
        <v>54</v>
      </c>
    </row>
    <row r="15" spans="7:11">
      <c r="J15" t="str">
        <f>"       d=""M " &amp; H5 &amp; ",  " &amp;  H5 &amp; " H " &amp; I5 &amp; " V  " &amp; I5 &amp; " H " &amp; H5 &amp; " Z"""</f>
        <v xml:space="preserve">       d="M 25,  25 H 75.00 V  75.00 H 25 Z"</v>
      </c>
    </row>
    <row r="16" spans="7:11">
      <c r="J16" t="s">
        <v>58</v>
      </c>
    </row>
    <row r="17" spans="10:10">
      <c r="J17" t="s">
        <v>56</v>
      </c>
    </row>
    <row r="18" spans="10:10"/>
    <row r="19" spans="10:10"/>
    <row r="20" spans="10:10"/>
    <row r="21" spans="10:10"/>
    <row r="22" spans="10:10"/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J1:K29"/>
  <sheetViews>
    <sheetView workbookViewId="0">
      <selection activeCell="J2" sqref="J2"/>
    </sheetView>
  </sheetViews>
  <sheetFormatPr defaultRowHeight="15" zeroHeight="1"/>
  <sheetData>
    <row r="1" spans="10:11">
      <c r="K1" t="s">
        <v>63</v>
      </c>
    </row>
    <row r="2" spans="10:11">
      <c r="J2" s="1" t="str">
        <f>CONCATENATE(_XMLbeg,J3,_XMLend)</f>
        <v>&lt;?xml version="1.0" encoding="UTF-8" standalone="no"?&gt;
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  &lt;g     inkscape:label="Layer 1"     inkscape:groupmode="layer"     id="layer1"&gt;&lt;path       style="fill:none;stroke:#000000;stroke-width:0.26px;stroke-linecap:butt;stroke-linejoin:miter;stroke-opacity:1"       d="M 100.00, 0.00   C 87.00, 7.00    87.00, 11.00    93.00, 11.00"       id="path16"       inkscape:connector-curvature="0"       sodipodi:nodetypes="cc" /&gt;  &lt;/g&gt;&lt;/svg&gt;</v>
      </c>
    </row>
    <row r="3" spans="10:11">
      <c r="J3" t="str">
        <f>J4</f>
        <v>&lt;path       style="fill:none;stroke:#000000;stroke-width:0.26px;stroke-linecap:butt;stroke-linejoin:miter;stroke-opacity:1"       d="M 100.00, 0.00   C 87.00, 7.00    87.00, 11.00    93.00, 11.00"       id="path16"       inkscape:connector-curvature="0"       sodipodi:nodetypes="cc" /&gt;</v>
      </c>
    </row>
    <row r="4" spans="10:11">
      <c r="J4" s="3" t="str">
        <f>CONCATENATE(J5,J6,J7,J8,J9,J10)</f>
        <v>&lt;path       style="fill:none;stroke:#000000;stroke-width:0.26px;stroke-linecap:butt;stroke-linejoin:miter;stroke-opacity:1"       d="M 100.00, 0.00   C 87.00, 7.00    87.00, 11.00    93.00, 11.00"       id="path16"       inkscape:connector-curvature="0"       sodipodi:nodetypes="cc" /&gt;</v>
      </c>
    </row>
    <row r="5" spans="10:11">
      <c r="J5" t="s">
        <v>53</v>
      </c>
    </row>
    <row r="6" spans="10:11">
      <c r="J6" t="s">
        <v>54</v>
      </c>
    </row>
    <row r="7" spans="10:11">
      <c r="J7" t="s">
        <v>67</v>
      </c>
    </row>
    <row r="8" spans="10:11">
      <c r="J8" t="s">
        <v>64</v>
      </c>
    </row>
    <row r="9" spans="10:11">
      <c r="J9" t="s">
        <v>65</v>
      </c>
    </row>
    <row r="10" spans="10:11">
      <c r="J10" t="s">
        <v>66</v>
      </c>
    </row>
    <row r="11" spans="10:11"/>
    <row r="12" spans="10:11"/>
    <row r="13" spans="10:11"/>
    <row r="14" spans="10:11"/>
    <row r="15" spans="10:11"/>
    <row r="16" spans="10:11"/>
    <row r="17"/>
    <row r="18"/>
    <row r="19"/>
    <row r="20"/>
    <row r="21"/>
    <row r="22"/>
    <row r="23"/>
    <row r="24"/>
    <row r="25"/>
    <row r="26"/>
    <row r="27"/>
    <row r="28"/>
    <row r="29"/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R34"/>
  <sheetViews>
    <sheetView tabSelected="1" workbookViewId="0"/>
  </sheetViews>
  <sheetFormatPr defaultRowHeight="15" zeroHeight="1"/>
  <cols>
    <col min="18" max="18" width="11.85546875" customWidth="1"/>
  </cols>
  <sheetData>
    <row r="1" spans="10:11">
      <c r="K1" t="s">
        <v>68</v>
      </c>
    </row>
    <row r="2" spans="10:11">
      <c r="J2" s="1" t="str">
        <f>CONCATENATE(_XMLbeg,J3,_XMLend)</f>
        <v>&lt;?xml version="1.0" encoding="UTF-8" standalone="no"?&gt;
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  &lt;g     inkscape:label="Layer 1"     inkscape:groupmode="layer"     id="layer1"&gt;&lt;path       style="fill:none;stroke:#000000;stroke-width:0.26px;stroke-linecap:butt;stroke-linejoin:miter;stroke-opacity:1"     d="M   100.00,0.00 C   87.00,7.00  87.00,11.00  93.00,11.00  97.00,11.00  97.00,14.00  90.00,19.00  83.00,24.00  81.00,23.00  82.00,20.00  83.00,15.00  76.00,18.00  75.00,25.00"       id="path13"       inkscape:connector-curvature="0"       sodipodi:nodetypes="cszsc" /&gt;  &lt;/g&gt;&lt;/svg&gt;</v>
      </c>
    </row>
    <row r="3" spans="10:11">
      <c r="J3" t="str">
        <f>J4</f>
        <v>&lt;path       style="fill:none;stroke:#000000;stroke-width:0.26px;stroke-linecap:butt;stroke-linejoin:miter;stroke-opacity:1"     d="M   100.00,0.00 C   87.00,7.00  87.00,11.00  93.00,11.00  97.00,11.00  97.00,14.00  90.00,19.00  83.00,24.00  81.00,23.00  82.00,20.00  83.00,15.00  76.00,18.00  75.00,25.00"       id="path13"       inkscape:connector-curvature="0"       sodipodi:nodetypes="cszsc" /&gt;</v>
      </c>
    </row>
    <row r="4" spans="10:11">
      <c r="J4" s="3" t="str">
        <f>CONCATENATE(J5,J6,J7,J8,J9,J10)</f>
        <v>&lt;path       style="fill:none;stroke:#000000;stroke-width:0.26px;stroke-linecap:butt;stroke-linejoin:miter;stroke-opacity:1"     d="M   100.00,0.00 C   87.00,7.00  87.00,11.00  93.00,11.00  97.00,11.00  97.00,14.00  90.00,19.00  83.00,24.00  81.00,23.00  82.00,20.00  83.00,15.00  76.00,18.00  75.00,25.00"       id="path13"       inkscape:connector-curvature="0"       sodipodi:nodetypes="cszsc" /&gt;</v>
      </c>
    </row>
    <row r="5" spans="10:11">
      <c r="J5" t="s">
        <v>53</v>
      </c>
    </row>
    <row r="6" spans="10:11">
      <c r="J6" t="s">
        <v>54</v>
      </c>
    </row>
    <row r="7" spans="10:11">
      <c r="J7" t="str">
        <f>CONCATENATE("     d=""","M ",_T00," C ",_T01,_T02,_T03,_T11,_T12,_T13,_T21,_T22,_T23,_T31,_T32,_T33,"""")</f>
        <v xml:space="preserve">     d="M   100.00,0.00 C   87.00,7.00  87.00,11.00  93.00,11.00  97.00,11.00  97.00,14.00  90.00,19.00  83.00,24.00  81.00,23.00  82.00,20.00  83.00,15.00  76.00,18.00  75.00,25.00"</v>
      </c>
    </row>
    <row r="8" spans="10:11">
      <c r="J8" t="s">
        <v>69</v>
      </c>
    </row>
    <row r="9" spans="10:11">
      <c r="J9" t="s">
        <v>65</v>
      </c>
    </row>
    <row r="10" spans="10:11">
      <c r="J10" t="s">
        <v>70</v>
      </c>
    </row>
    <row r="11" spans="10:11"/>
    <row r="12" spans="10:11"/>
    <row r="13" spans="10:11"/>
    <row r="14" spans="10:11"/>
    <row r="15" spans="10:11"/>
    <row r="16" spans="10:11"/>
    <row r="17" spans="1:18"/>
    <row r="18" spans="1:18"/>
    <row r="19" spans="1:18"/>
    <row r="20" spans="1:18">
      <c r="H20">
        <v>100</v>
      </c>
      <c r="I20">
        <v>0</v>
      </c>
      <c r="N20" s="1">
        <v>100</v>
      </c>
      <c r="O20" s="1">
        <v>0</v>
      </c>
      <c r="P20" s="6" t="str">
        <f>SUBSTITUTE(TEXT(N20,"0,00"),",",".")</f>
        <v>100.00</v>
      </c>
      <c r="Q20" s="6" t="str">
        <f>SUBSTITUTE(TEXT(O20,"0,00"),",",".")</f>
        <v>0.00</v>
      </c>
      <c r="R20" s="5" t="str">
        <f>CONCATENATE("  ",P20,",",Q20)</f>
        <v xml:space="preserve">  100.00,0.00</v>
      </c>
    </row>
    <row r="21" spans="1:18">
      <c r="H21" s="1">
        <f>H$20+J21</f>
        <v>87</v>
      </c>
      <c r="I21" s="1">
        <f>I$20+K21</f>
        <v>7</v>
      </c>
      <c r="J21">
        <v>-13</v>
      </c>
      <c r="K21">
        <v>7</v>
      </c>
      <c r="N21">
        <v>87</v>
      </c>
      <c r="O21">
        <v>7</v>
      </c>
      <c r="P21" t="str">
        <f t="shared" ref="P21:P32" si="0">SUBSTITUTE(TEXT(N21,"0,00"),",",".")</f>
        <v>87.00</v>
      </c>
      <c r="Q21" t="str">
        <f t="shared" ref="Q21:Q32" si="1">SUBSTITUTE(TEXT(O21,"0,00"),",",".")</f>
        <v>7.00</v>
      </c>
      <c r="R21" t="str">
        <f>CONCATENATE("  ",P21,",",Q21)</f>
        <v xml:space="preserve">  87.00,7.00</v>
      </c>
    </row>
    <row r="22" spans="1:18">
      <c r="H22" s="1">
        <f t="shared" ref="H22:H23" si="2">H$20+J22</f>
        <v>87</v>
      </c>
      <c r="I22" s="1">
        <f t="shared" ref="I22:I23" si="3">I$20+K22</f>
        <v>11</v>
      </c>
      <c r="J22">
        <v>-13</v>
      </c>
      <c r="K22">
        <v>11</v>
      </c>
      <c r="N22">
        <v>87</v>
      </c>
      <c r="O22">
        <v>11</v>
      </c>
      <c r="P22" t="str">
        <f t="shared" si="0"/>
        <v>87.00</v>
      </c>
      <c r="Q22" t="str">
        <f t="shared" si="1"/>
        <v>11.00</v>
      </c>
      <c r="R22" t="str">
        <f t="shared" ref="R22:R23" si="4">CONCATENATE("  ",P22,",",Q22)</f>
        <v xml:space="preserve">  87.00,11.00</v>
      </c>
    </row>
    <row r="23" spans="1:18">
      <c r="A23" t="s">
        <v>53</v>
      </c>
      <c r="H23" s="1">
        <f t="shared" si="2"/>
        <v>93</v>
      </c>
      <c r="I23" s="1">
        <f t="shared" si="3"/>
        <v>11</v>
      </c>
      <c r="J23">
        <v>-7</v>
      </c>
      <c r="K23">
        <v>11</v>
      </c>
      <c r="N23">
        <v>93</v>
      </c>
      <c r="O23">
        <v>11</v>
      </c>
      <c r="P23" t="str">
        <f t="shared" si="0"/>
        <v>93.00</v>
      </c>
      <c r="Q23" t="str">
        <f t="shared" si="1"/>
        <v>11.00</v>
      </c>
      <c r="R23" t="str">
        <f t="shared" si="4"/>
        <v xml:space="preserve">  93.00,11.00</v>
      </c>
    </row>
    <row r="24" spans="1:18">
      <c r="A24" t="s">
        <v>54</v>
      </c>
      <c r="H24">
        <f>H$23+J24</f>
        <v>97</v>
      </c>
      <c r="I24">
        <f>I$23+K24</f>
        <v>11</v>
      </c>
      <c r="J24">
        <v>4</v>
      </c>
      <c r="K24">
        <v>0</v>
      </c>
      <c r="N24" s="1">
        <v>97</v>
      </c>
      <c r="O24" s="1">
        <v>11</v>
      </c>
      <c r="P24" s="6" t="str">
        <f t="shared" si="0"/>
        <v>97.00</v>
      </c>
      <c r="Q24" s="6" t="str">
        <f t="shared" si="1"/>
        <v>11.00</v>
      </c>
      <c r="R24" s="5" t="str">
        <f>CONCATENATE("  ",P24,",",Q24)</f>
        <v xml:space="preserve">  97.00,11.00</v>
      </c>
    </row>
    <row r="25" spans="1:18">
      <c r="A25" t="s">
        <v>71</v>
      </c>
      <c r="H25">
        <f t="shared" ref="H25:H26" si="5">H$23+J25</f>
        <v>97</v>
      </c>
      <c r="I25">
        <f t="shared" ref="I25:I26" si="6">I$23+K25</f>
        <v>14</v>
      </c>
      <c r="J25">
        <v>4</v>
      </c>
      <c r="K25">
        <v>3</v>
      </c>
      <c r="N25" s="1">
        <v>97</v>
      </c>
      <c r="O25" s="1">
        <v>14</v>
      </c>
      <c r="P25" s="6" t="str">
        <f t="shared" si="0"/>
        <v>97.00</v>
      </c>
      <c r="Q25" s="6" t="str">
        <f t="shared" si="1"/>
        <v>14.00</v>
      </c>
      <c r="R25" s="5" t="str">
        <f t="shared" ref="R25:R32" si="7">CONCATENATE("  ",P25,",",Q25)</f>
        <v xml:space="preserve">  97.00,14.00</v>
      </c>
    </row>
    <row r="26" spans="1:18">
      <c r="A26" t="s">
        <v>69</v>
      </c>
      <c r="H26">
        <f t="shared" si="5"/>
        <v>90</v>
      </c>
      <c r="I26">
        <f t="shared" si="6"/>
        <v>19</v>
      </c>
      <c r="J26">
        <v>-3</v>
      </c>
      <c r="K26">
        <v>8</v>
      </c>
      <c r="N26" s="1">
        <v>90</v>
      </c>
      <c r="O26" s="1">
        <v>19</v>
      </c>
      <c r="P26" s="6" t="str">
        <f t="shared" si="0"/>
        <v>90.00</v>
      </c>
      <c r="Q26" s="6" t="str">
        <f t="shared" si="1"/>
        <v>19.00</v>
      </c>
      <c r="R26" s="5" t="str">
        <f t="shared" si="7"/>
        <v xml:space="preserve">  90.00,19.00</v>
      </c>
    </row>
    <row r="27" spans="1:18">
      <c r="A27" t="s">
        <v>65</v>
      </c>
      <c r="H27" s="1">
        <f>H$26+J27</f>
        <v>83</v>
      </c>
      <c r="I27" s="1">
        <f>I$26+K27</f>
        <v>24</v>
      </c>
      <c r="J27">
        <v>-7</v>
      </c>
      <c r="K27">
        <v>5</v>
      </c>
      <c r="N27">
        <v>83</v>
      </c>
      <c r="O27">
        <v>24</v>
      </c>
      <c r="P27" t="str">
        <f t="shared" si="0"/>
        <v>83.00</v>
      </c>
      <c r="Q27" t="str">
        <f t="shared" si="1"/>
        <v>24.00</v>
      </c>
      <c r="R27" t="str">
        <f t="shared" si="7"/>
        <v xml:space="preserve">  83.00,24.00</v>
      </c>
    </row>
    <row r="28" spans="1:18">
      <c r="A28" t="s">
        <v>70</v>
      </c>
      <c r="H28" s="1">
        <f t="shared" ref="H28:H29" si="8">H$26+J28</f>
        <v>81</v>
      </c>
      <c r="I28" s="1">
        <f t="shared" ref="I28:I29" si="9">I$26+K28</f>
        <v>23</v>
      </c>
      <c r="J28">
        <v>-9</v>
      </c>
      <c r="K28">
        <v>4</v>
      </c>
      <c r="N28">
        <v>81</v>
      </c>
      <c r="O28">
        <v>23</v>
      </c>
      <c r="P28" t="str">
        <f t="shared" si="0"/>
        <v>81.00</v>
      </c>
      <c r="Q28" t="str">
        <f t="shared" si="1"/>
        <v>23.00</v>
      </c>
      <c r="R28" t="str">
        <f t="shared" si="7"/>
        <v xml:space="preserve">  81.00,23.00</v>
      </c>
    </row>
    <row r="29" spans="1:18">
      <c r="H29" s="1">
        <f t="shared" si="8"/>
        <v>82</v>
      </c>
      <c r="I29" s="1">
        <f t="shared" si="9"/>
        <v>20</v>
      </c>
      <c r="J29">
        <v>-8</v>
      </c>
      <c r="K29">
        <v>1</v>
      </c>
      <c r="N29">
        <v>82</v>
      </c>
      <c r="O29">
        <v>20</v>
      </c>
      <c r="P29" t="str">
        <f t="shared" si="0"/>
        <v>82.00</v>
      </c>
      <c r="Q29" t="str">
        <f t="shared" si="1"/>
        <v>20.00</v>
      </c>
      <c r="R29" t="str">
        <f t="shared" si="7"/>
        <v xml:space="preserve">  82.00,20.00</v>
      </c>
    </row>
    <row r="30" spans="1:18">
      <c r="H30">
        <f>H$29+J30</f>
        <v>83</v>
      </c>
      <c r="I30">
        <f>I$29+K30</f>
        <v>15</v>
      </c>
      <c r="J30">
        <v>1</v>
      </c>
      <c r="K30">
        <v>-5</v>
      </c>
      <c r="N30" s="1">
        <v>83</v>
      </c>
      <c r="O30" s="1">
        <v>15</v>
      </c>
      <c r="P30" s="6" t="str">
        <f t="shared" si="0"/>
        <v>83.00</v>
      </c>
      <c r="Q30" s="6" t="str">
        <f t="shared" si="1"/>
        <v>15.00</v>
      </c>
      <c r="R30" s="5" t="str">
        <f t="shared" si="7"/>
        <v xml:space="preserve">  83.00,15.00</v>
      </c>
    </row>
    <row r="31" spans="1:18">
      <c r="H31">
        <f t="shared" ref="H31:H32" si="10">H$29+J31</f>
        <v>76</v>
      </c>
      <c r="I31">
        <f t="shared" ref="I31:I32" si="11">I$29+K31</f>
        <v>18</v>
      </c>
      <c r="J31">
        <v>-6</v>
      </c>
      <c r="K31">
        <v>-2</v>
      </c>
      <c r="N31" s="1">
        <v>76</v>
      </c>
      <c r="O31" s="1">
        <v>18</v>
      </c>
      <c r="P31" s="6" t="str">
        <f t="shared" si="0"/>
        <v>76.00</v>
      </c>
      <c r="Q31" s="6" t="str">
        <f t="shared" si="1"/>
        <v>18.00</v>
      </c>
      <c r="R31" s="5" t="str">
        <f t="shared" si="7"/>
        <v xml:space="preserve">  76.00,18.00</v>
      </c>
    </row>
    <row r="32" spans="1:18">
      <c r="H32">
        <f t="shared" si="10"/>
        <v>75</v>
      </c>
      <c r="I32">
        <f t="shared" si="11"/>
        <v>25</v>
      </c>
      <c r="J32">
        <v>-7</v>
      </c>
      <c r="K32">
        <v>5</v>
      </c>
      <c r="N32" s="1">
        <v>75</v>
      </c>
      <c r="O32" s="1">
        <v>25</v>
      </c>
      <c r="P32" s="6" t="str">
        <f t="shared" si="0"/>
        <v>75.00</v>
      </c>
      <c r="Q32" s="6" t="str">
        <f t="shared" si="1"/>
        <v>25.00</v>
      </c>
      <c r="R32" s="5" t="str">
        <f t="shared" si="7"/>
        <v xml:space="preserve">  75.00,25.00</v>
      </c>
    </row>
    <row r="33"/>
    <row r="34"/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1:K68"/>
  <sheetViews>
    <sheetView workbookViewId="0"/>
  </sheetViews>
  <sheetFormatPr defaultColWidth="0" defaultRowHeight="15" zeroHeight="1"/>
  <cols>
    <col min="1" max="11" width="9.140625" customWidth="1"/>
    <col min="12" max="16384" width="9.140625" hidden="1"/>
  </cols>
  <sheetData>
    <row r="1" spans="1:2">
      <c r="A1" t="str">
        <f>CONCATENATE(B4&amp;CHAR(10),tSVG,tDEFS,tMETA,A54)</f>
        <v>&lt;?xml version="1.0" encoding="UTF-8" standalone="no"?&gt;
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  &lt;g     inkscape:label="Layer 1"     inkscape:groupmode="layer"     id="layer1"&gt;</v>
      </c>
    </row>
    <row r="2" spans="1:2">
      <c r="A2" t="str">
        <f>A65</f>
        <v xml:space="preserve">  &lt;/g&gt;&lt;/svg&gt;</v>
      </c>
    </row>
    <row r="3" spans="1:2">
      <c r="A3" t="s">
        <v>61</v>
      </c>
    </row>
    <row r="4" spans="1:2">
      <c r="B4" s="1" t="s">
        <v>0</v>
      </c>
    </row>
    <row r="5" spans="1:2">
      <c r="B5" s="1" t="s">
        <v>1</v>
      </c>
    </row>
    <row r="6" spans="1:2">
      <c r="B6" s="1"/>
    </row>
    <row r="7" spans="1:2">
      <c r="A7" s="3" t="str">
        <f>CONCATENATE(B7,B8,B9,B10,B11,B12,B13,B14,B15,B16,B17,B18,B19,B20,B21)</f>
        <v>&lt;svg   xmlns:dc="http://purl.org/dc/elements/1.1/"   xmlns:cc="http://creativecommons.org/ns#"   xmlns:rdf="http://www.w3.org/1999/02/22-rdf-syntax-ns#"   xmlns:svg="http://www.w3.org/2000/svg"   xmlns="http://www.w3.org/2000/svg"   xmlns:sodipodi="http://sodipodi.sourceforge.net/DTD/sodipodi-0.dtd"   xmlns:inkscape="http://www.inkscape.org/namespaces/inkscape"   width="210mm"   height="297mm"   viewBox="0 0 210 297"   version="1.1"   id="svg8"   inkscape:version="0.92.5 (2060ec1f9f, 2020-04-08)"   sodipodi:docname="espelho11.svg"&gt;</v>
      </c>
      <c r="B7" s="1" t="s">
        <v>2</v>
      </c>
    </row>
    <row r="8" spans="1:2">
      <c r="B8" s="1" t="s">
        <v>3</v>
      </c>
    </row>
    <row r="9" spans="1:2">
      <c r="B9" s="1" t="s">
        <v>4</v>
      </c>
    </row>
    <row r="10" spans="1:2">
      <c r="B10" s="1" t="s">
        <v>5</v>
      </c>
    </row>
    <row r="11" spans="1:2">
      <c r="B11" s="1" t="s">
        <v>6</v>
      </c>
    </row>
    <row r="12" spans="1:2">
      <c r="B12" s="1" t="s">
        <v>7</v>
      </c>
    </row>
    <row r="13" spans="1:2">
      <c r="B13" s="1" t="s">
        <v>8</v>
      </c>
    </row>
    <row r="14" spans="1:2">
      <c r="B14" s="1" t="s">
        <v>9</v>
      </c>
    </row>
    <row r="15" spans="1:2">
      <c r="B15" s="1" t="s">
        <v>10</v>
      </c>
    </row>
    <row r="16" spans="1:2">
      <c r="B16" s="1" t="s">
        <v>11</v>
      </c>
    </row>
    <row r="17" spans="1:2">
      <c r="B17" s="1" t="s">
        <v>12</v>
      </c>
    </row>
    <row r="18" spans="1:2">
      <c r="B18" s="1" t="s">
        <v>13</v>
      </c>
    </row>
    <row r="19" spans="1:2">
      <c r="B19" s="1" t="s">
        <v>14</v>
      </c>
    </row>
    <row r="20" spans="1:2">
      <c r="B20" s="1" t="s">
        <v>15</v>
      </c>
    </row>
    <row r="21" spans="1:2">
      <c r="B21" s="1" t="str">
        <f>CONCATENATE("   sodipodi:docname=""",A3,".svg""","&gt;")</f>
        <v xml:space="preserve">   sodipodi:docname="espelho11.svg"&gt;</v>
      </c>
    </row>
    <row r="22" spans="1:2">
      <c r="A22" s="3" t="str">
        <f>CONCATENATE(B22,B23,B24,B25,B26,B27,B28,B29,B30,B31,B32,B33,B34,B35,B36,B37,B38,B39,B40,B41)</f>
        <v xml:space="preserve">  &lt;defs     id="defs2" /&gt;  &lt;sodipodi:namedview     id="base"     pagecolor="#ffffff"     bordercolor="#666666"     borderopacity="1.0"     inkscape:pageopacity="0.0"     inkscape:pageshadow="2"     inkscape:zoom="4.7"     inkscape:cx="3.4e+02"     inkscape:cy="1.1e+03"     inkscape:document-units="mm"     inkscape:current-layer="layer1"     showgrid="false"     inkscape:window-width="1366"     inkscape:window-height="705"     inkscape:window-x="-8"     inkscape:window-y="-8"     inkscape:window-maximized="1" /&gt;</v>
      </c>
      <c r="B22" s="1" t="s">
        <v>16</v>
      </c>
    </row>
    <row r="23" spans="1:2">
      <c r="B23" s="1" t="s">
        <v>17</v>
      </c>
    </row>
    <row r="24" spans="1:2">
      <c r="B24" s="1" t="s">
        <v>18</v>
      </c>
    </row>
    <row r="25" spans="1:2">
      <c r="B25" s="1" t="s">
        <v>19</v>
      </c>
    </row>
    <row r="26" spans="1:2">
      <c r="B26" s="1" t="s">
        <v>20</v>
      </c>
    </row>
    <row r="27" spans="1:2">
      <c r="B27" s="1" t="s">
        <v>21</v>
      </c>
    </row>
    <row r="28" spans="1:2">
      <c r="B28" s="1" t="s">
        <v>22</v>
      </c>
    </row>
    <row r="29" spans="1:2">
      <c r="B29" s="1" t="s">
        <v>23</v>
      </c>
    </row>
    <row r="30" spans="1:2">
      <c r="B30" s="1" t="s">
        <v>24</v>
      </c>
    </row>
    <row r="31" spans="1:2">
      <c r="B31" s="1" t="s">
        <v>25</v>
      </c>
    </row>
    <row r="32" spans="1:2">
      <c r="B32" s="1" t="s">
        <v>26</v>
      </c>
    </row>
    <row r="33" spans="1:2">
      <c r="B33" s="1" t="s">
        <v>27</v>
      </c>
    </row>
    <row r="34" spans="1:2">
      <c r="B34" s="1" t="s">
        <v>28</v>
      </c>
    </row>
    <row r="35" spans="1:2">
      <c r="B35" s="1" t="s">
        <v>29</v>
      </c>
    </row>
    <row r="36" spans="1:2">
      <c r="B36" s="1" t="s">
        <v>30</v>
      </c>
    </row>
    <row r="37" spans="1:2">
      <c r="B37" s="1" t="s">
        <v>31</v>
      </c>
    </row>
    <row r="38" spans="1:2">
      <c r="B38" s="1" t="s">
        <v>32</v>
      </c>
    </row>
    <row r="39" spans="1:2">
      <c r="B39" s="1" t="s">
        <v>33</v>
      </c>
    </row>
    <row r="40" spans="1:2">
      <c r="B40" s="1" t="s">
        <v>34</v>
      </c>
    </row>
    <row r="41" spans="1:2">
      <c r="B41" s="1" t="s">
        <v>35</v>
      </c>
    </row>
    <row r="42" spans="1:2">
      <c r="A42" s="3" t="str">
        <f>CONCATENATE(B42,B43,B44,B45,B46,B47,B48,B49,B50,B51,B52,B53)</f>
        <v xml:space="preserve">  &lt;metadata     id="metadata5"&gt;    &lt;rdf:RDF&gt;      &lt;cc:Work         rdf:about=""&gt;        &lt;dc:format&gt;image/svg+xml&lt;/dc:format&gt;        &lt;dc:type           rdf:resource="http://purl.org/dc/dcmitype/StillImage" /&gt;        &lt;dc:title /&gt;      &lt;/cc:Work&gt;    &lt;/rdf:RDF&gt;  &lt;/metadata&gt;</v>
      </c>
      <c r="B42" s="1" t="s">
        <v>36</v>
      </c>
    </row>
    <row r="43" spans="1:2">
      <c r="B43" s="1" t="s">
        <v>37</v>
      </c>
    </row>
    <row r="44" spans="1:2">
      <c r="B44" s="1" t="s">
        <v>38</v>
      </c>
    </row>
    <row r="45" spans="1:2">
      <c r="B45" s="1" t="s">
        <v>39</v>
      </c>
    </row>
    <row r="46" spans="1:2">
      <c r="B46" s="1" t="s">
        <v>40</v>
      </c>
    </row>
    <row r="47" spans="1:2">
      <c r="B47" s="1" t="s">
        <v>41</v>
      </c>
    </row>
    <row r="48" spans="1:2">
      <c r="B48" s="1" t="s">
        <v>42</v>
      </c>
    </row>
    <row r="49" spans="1:2">
      <c r="B49" s="1" t="s">
        <v>43</v>
      </c>
    </row>
    <row r="50" spans="1:2">
      <c r="B50" s="1" t="s">
        <v>44</v>
      </c>
    </row>
    <row r="51" spans="1:2">
      <c r="B51" s="1" t="s">
        <v>45</v>
      </c>
    </row>
    <row r="52" spans="1:2">
      <c r="B52" s="1" t="s">
        <v>46</v>
      </c>
    </row>
    <row r="53" spans="1:2">
      <c r="B53" s="1" t="s">
        <v>47</v>
      </c>
    </row>
    <row r="54" spans="1:2">
      <c r="A54" s="3" t="str">
        <f>CONCATENATE(B54,B55,B56,B57)</f>
        <v xml:space="preserve">  &lt;g     inkscape:label="Layer 1"     inkscape:groupmode="layer"     id="layer1"&gt;</v>
      </c>
      <c r="B54" s="1" t="s">
        <v>48</v>
      </c>
    </row>
    <row r="55" spans="1:2">
      <c r="B55" s="1" t="s">
        <v>49</v>
      </c>
    </row>
    <row r="56" spans="1:2">
      <c r="B56" s="1" t="s">
        <v>50</v>
      </c>
    </row>
    <row r="57" spans="1:2">
      <c r="B57" t="s">
        <v>62</v>
      </c>
    </row>
    <row r="58" spans="1:2"/>
    <row r="59" spans="1:2"/>
    <row r="60" spans="1:2"/>
    <row r="61" spans="1:2"/>
    <row r="62" spans="1:2"/>
    <row r="63" spans="1:2"/>
    <row r="64" spans="1:2"/>
    <row r="65" spans="1:2">
      <c r="A65" s="3" t="str">
        <f>CONCATENATE(B65,B66)</f>
        <v xml:space="preserve">  &lt;/g&gt;&lt;/svg&gt;</v>
      </c>
      <c r="B65" s="2" t="s">
        <v>51</v>
      </c>
    </row>
    <row r="66" spans="1:2">
      <c r="B66" s="2" t="s">
        <v>52</v>
      </c>
    </row>
    <row r="67" spans="1:2"/>
    <row r="68" spans="1:2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18</vt:i4>
      </vt:variant>
    </vt:vector>
  </HeadingPairs>
  <TitlesOfParts>
    <vt:vector size="22" baseType="lpstr">
      <vt:lpstr>Лист1</vt:lpstr>
      <vt:lpstr>Лист2</vt:lpstr>
      <vt:lpstr>Лист3</vt:lpstr>
      <vt:lpstr>xml</vt:lpstr>
      <vt:lpstr>_T00</vt:lpstr>
      <vt:lpstr>_T01</vt:lpstr>
      <vt:lpstr>_T02</vt:lpstr>
      <vt:lpstr>_T03</vt:lpstr>
      <vt:lpstr>_T11</vt:lpstr>
      <vt:lpstr>_T12</vt:lpstr>
      <vt:lpstr>_T13</vt:lpstr>
      <vt:lpstr>_T21</vt:lpstr>
      <vt:lpstr>_T22</vt:lpstr>
      <vt:lpstr>_T23</vt:lpstr>
      <vt:lpstr>_T31</vt:lpstr>
      <vt:lpstr>_T32</vt:lpstr>
      <vt:lpstr>_T33</vt:lpstr>
      <vt:lpstr>_XMLbeg</vt:lpstr>
      <vt:lpstr>_XMLend</vt:lpstr>
      <vt:lpstr>tDEFS</vt:lpstr>
      <vt:lpstr>tMETA</vt:lpstr>
      <vt:lpstr>tSVG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Ольга Бледнова</cp:lastModifiedBy>
  <dcterms:created xsi:type="dcterms:W3CDTF">2020-05-03T10:28:22Z</dcterms:created>
  <dcterms:modified xsi:type="dcterms:W3CDTF">2020-05-04T15:06:51Z</dcterms:modified>
</cp:coreProperties>
</file>