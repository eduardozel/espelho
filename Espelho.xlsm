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3"/>
  </bookViews>
  <sheets>
    <sheet name="Лист1" sheetId="1" r:id="rId1"/>
    <sheet name="Лист2" sheetId="2" r:id="rId2"/>
    <sheet name="Лист3" sheetId="4" r:id="rId3"/>
    <sheet name="Лист4" sheetId="5" r:id="rId4"/>
    <sheet name="xml" sheetId="3" r:id="rId5"/>
  </sheets>
  <functionGroups/>
  <definedNames>
    <definedName name="_cX">Лист4!$I$10</definedName>
    <definedName name="_cY">Лист4!$J$10</definedName>
    <definedName name="_T00">Лист3!$R$20</definedName>
    <definedName name="_T01">Лист3!$R$21</definedName>
    <definedName name="_T02">Лист3!$R$22</definedName>
    <definedName name="_T03">Лист3!$R$23</definedName>
    <definedName name="_T11">Лист3!$R$24</definedName>
    <definedName name="_T12">Лист3!$R$25</definedName>
    <definedName name="_T13">Лист3!$R$26</definedName>
    <definedName name="_T21">Лист3!$R$27</definedName>
    <definedName name="_T22">Лист3!$R$28</definedName>
    <definedName name="_T23">Лист3!$R$29</definedName>
    <definedName name="_T31">Лист3!$R$30</definedName>
    <definedName name="_T32">Лист3!$R$31</definedName>
    <definedName name="_T33">Лист3!$R$32</definedName>
    <definedName name="_vGR">Лист4!$O$15</definedName>
    <definedName name="_vRD">Лист4!$N$15</definedName>
    <definedName name="_XMLbeg">xml!$A$1</definedName>
    <definedName name="_XMLend">xml!$A$2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I90" i="5"/>
  <c r="J90"/>
  <c r="K90"/>
  <c r="Q90" s="1"/>
  <c r="S90" s="1"/>
  <c r="L90"/>
  <c r="N90" s="1"/>
  <c r="I91"/>
  <c r="K91" s="1"/>
  <c r="J91"/>
  <c r="L91"/>
  <c r="N91" s="1"/>
  <c r="I92"/>
  <c r="K92" s="1"/>
  <c r="J92"/>
  <c r="L92" s="1"/>
  <c r="I93"/>
  <c r="J93"/>
  <c r="L93" s="1"/>
  <c r="I94"/>
  <c r="J94"/>
  <c r="K94"/>
  <c r="P94" s="1"/>
  <c r="R94" s="1"/>
  <c r="L94"/>
  <c r="N94" s="1"/>
  <c r="I95"/>
  <c r="K95" s="1"/>
  <c r="J95"/>
  <c r="L95"/>
  <c r="M95" s="1"/>
  <c r="O95" s="1"/>
  <c r="I96"/>
  <c r="K96" s="1"/>
  <c r="J96"/>
  <c r="L96" s="1"/>
  <c r="I97"/>
  <c r="J97"/>
  <c r="L97" s="1"/>
  <c r="I98"/>
  <c r="J98"/>
  <c r="K98"/>
  <c r="Q98" s="1"/>
  <c r="S98" s="1"/>
  <c r="L98"/>
  <c r="N98" s="1"/>
  <c r="I99"/>
  <c r="K99" s="1"/>
  <c r="J99"/>
  <c r="L99"/>
  <c r="N99" s="1"/>
  <c r="I69"/>
  <c r="K69" s="1"/>
  <c r="J69"/>
  <c r="L69" s="1"/>
  <c r="I70"/>
  <c r="J70"/>
  <c r="L70" s="1"/>
  <c r="K70"/>
  <c r="I71"/>
  <c r="J71"/>
  <c r="K71"/>
  <c r="Q71" s="1"/>
  <c r="S71" s="1"/>
  <c r="L71"/>
  <c r="N71" s="1"/>
  <c r="P71" s="1"/>
  <c r="R71" s="1"/>
  <c r="I72"/>
  <c r="K72" s="1"/>
  <c r="J72"/>
  <c r="I73"/>
  <c r="K73" s="1"/>
  <c r="J73"/>
  <c r="L73" s="1"/>
  <c r="I74"/>
  <c r="J74"/>
  <c r="L74" s="1"/>
  <c r="K74"/>
  <c r="I75"/>
  <c r="J75"/>
  <c r="K75"/>
  <c r="L75"/>
  <c r="N75" s="1"/>
  <c r="P75" s="1"/>
  <c r="R75" s="1"/>
  <c r="I76"/>
  <c r="K76" s="1"/>
  <c r="J76"/>
  <c r="I77"/>
  <c r="K77" s="1"/>
  <c r="J77"/>
  <c r="L77" s="1"/>
  <c r="I78"/>
  <c r="J78"/>
  <c r="L78" s="1"/>
  <c r="K78"/>
  <c r="I48"/>
  <c r="K48" s="1"/>
  <c r="J48"/>
  <c r="L48"/>
  <c r="N48" s="1"/>
  <c r="I49"/>
  <c r="K49" s="1"/>
  <c r="J49"/>
  <c r="L49" s="1"/>
  <c r="I50"/>
  <c r="J50"/>
  <c r="L50" s="1"/>
  <c r="I51"/>
  <c r="L51" s="1"/>
  <c r="J51"/>
  <c r="K51"/>
  <c r="I52"/>
  <c r="K52" s="1"/>
  <c r="J52"/>
  <c r="L52"/>
  <c r="N52" s="1"/>
  <c r="I53"/>
  <c r="K53" s="1"/>
  <c r="J53"/>
  <c r="L53" s="1"/>
  <c r="I54"/>
  <c r="J54"/>
  <c r="L54" s="1"/>
  <c r="J55"/>
  <c r="I56"/>
  <c r="K56" s="1"/>
  <c r="J56"/>
  <c r="L56"/>
  <c r="N56" s="1"/>
  <c r="I57"/>
  <c r="K57" s="1"/>
  <c r="J57"/>
  <c r="L57" s="1"/>
  <c r="I27"/>
  <c r="K27" s="1"/>
  <c r="J27"/>
  <c r="L27" s="1"/>
  <c r="I28"/>
  <c r="J28"/>
  <c r="L28" s="1"/>
  <c r="K28"/>
  <c r="I29"/>
  <c r="J29"/>
  <c r="K29"/>
  <c r="L29"/>
  <c r="N29" s="1"/>
  <c r="P29" s="1"/>
  <c r="R29" s="1"/>
  <c r="I30"/>
  <c r="K30" s="1"/>
  <c r="J30"/>
  <c r="I31"/>
  <c r="K31" s="1"/>
  <c r="J31"/>
  <c r="L31" s="1"/>
  <c r="I32"/>
  <c r="J32"/>
  <c r="K32" s="1"/>
  <c r="I33"/>
  <c r="J33"/>
  <c r="K33"/>
  <c r="Q33" s="1"/>
  <c r="S33" s="1"/>
  <c r="L33"/>
  <c r="N33" s="1"/>
  <c r="I34"/>
  <c r="K34" s="1"/>
  <c r="J34"/>
  <c r="L34"/>
  <c r="M34" s="1"/>
  <c r="O34" s="1"/>
  <c r="I35"/>
  <c r="K35" s="1"/>
  <c r="J35"/>
  <c r="L35" s="1"/>
  <c r="I36"/>
  <c r="J36"/>
  <c r="L36" s="1"/>
  <c r="D55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48"/>
  <c r="E48"/>
  <c r="D49"/>
  <c r="E49"/>
  <c r="D50"/>
  <c r="E50"/>
  <c r="D51"/>
  <c r="E51"/>
  <c r="D52"/>
  <c r="E52"/>
  <c r="D53"/>
  <c r="E53"/>
  <c r="D54"/>
  <c r="E54"/>
  <c r="E55"/>
  <c r="D56"/>
  <c r="E56"/>
  <c r="D57"/>
  <c r="E57"/>
  <c r="D69"/>
  <c r="E69"/>
  <c r="D70"/>
  <c r="E70"/>
  <c r="D71"/>
  <c r="E71"/>
  <c r="D72"/>
  <c r="E72"/>
  <c r="D73"/>
  <c r="E73"/>
  <c r="D74"/>
  <c r="E74"/>
  <c r="D75"/>
  <c r="E75"/>
  <c r="D76"/>
  <c r="E76"/>
  <c r="D77"/>
  <c r="E77"/>
  <c r="D78"/>
  <c r="E78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79"/>
  <c r="E79"/>
  <c r="I55" l="1"/>
  <c r="M92"/>
  <c r="O92" s="1"/>
  <c r="N92"/>
  <c r="P91"/>
  <c r="R91" s="1"/>
  <c r="Q91"/>
  <c r="S91" s="1"/>
  <c r="N97"/>
  <c r="M97"/>
  <c r="O97" s="1"/>
  <c r="P99"/>
  <c r="R99" s="1"/>
  <c r="Q99"/>
  <c r="S99" s="1"/>
  <c r="M93"/>
  <c r="O93" s="1"/>
  <c r="N93"/>
  <c r="M96"/>
  <c r="O96" s="1"/>
  <c r="N96"/>
  <c r="P96" s="1"/>
  <c r="R96" s="1"/>
  <c r="Q92"/>
  <c r="S92" s="1"/>
  <c r="P92"/>
  <c r="R92" s="1"/>
  <c r="M99"/>
  <c r="O99" s="1"/>
  <c r="P98"/>
  <c r="R98" s="1"/>
  <c r="K97"/>
  <c r="K93"/>
  <c r="M91"/>
  <c r="O91" s="1"/>
  <c r="P90"/>
  <c r="R90" s="1"/>
  <c r="M98"/>
  <c r="O98" s="1"/>
  <c r="N95"/>
  <c r="P95" s="1"/>
  <c r="R95" s="1"/>
  <c r="Q94"/>
  <c r="S94" s="1"/>
  <c r="M94"/>
  <c r="O94" s="1"/>
  <c r="M90"/>
  <c r="O90" s="1"/>
  <c r="M70"/>
  <c r="O70" s="1"/>
  <c r="N70"/>
  <c r="P70" s="1"/>
  <c r="R70" s="1"/>
  <c r="N73"/>
  <c r="M73"/>
  <c r="O73" s="1"/>
  <c r="Q69"/>
  <c r="S69" s="1"/>
  <c r="Q70"/>
  <c r="S70" s="1"/>
  <c r="N77"/>
  <c r="M77"/>
  <c r="O77" s="1"/>
  <c r="P73"/>
  <c r="R73" s="1"/>
  <c r="Q73"/>
  <c r="S73" s="1"/>
  <c r="M78"/>
  <c r="O78" s="1"/>
  <c r="N78"/>
  <c r="Q78" s="1"/>
  <c r="S78" s="1"/>
  <c r="N69"/>
  <c r="P69" s="1"/>
  <c r="R69" s="1"/>
  <c r="M69"/>
  <c r="O69" s="1"/>
  <c r="P77"/>
  <c r="R77" s="1"/>
  <c r="Q77"/>
  <c r="S77" s="1"/>
  <c r="M74"/>
  <c r="O74" s="1"/>
  <c r="N74"/>
  <c r="P74" s="1"/>
  <c r="R74" s="1"/>
  <c r="Q75"/>
  <c r="S75" s="1"/>
  <c r="L76"/>
  <c r="L72"/>
  <c r="M75"/>
  <c r="O75" s="1"/>
  <c r="M71"/>
  <c r="O71" s="1"/>
  <c r="N51"/>
  <c r="Q51" s="1"/>
  <c r="S51" s="1"/>
  <c r="M51"/>
  <c r="O51" s="1"/>
  <c r="M57"/>
  <c r="O57" s="1"/>
  <c r="N57"/>
  <c r="P57" s="1"/>
  <c r="R57" s="1"/>
  <c r="P56"/>
  <c r="R56" s="1"/>
  <c r="Q56"/>
  <c r="S56" s="1"/>
  <c r="M54"/>
  <c r="O54" s="1"/>
  <c r="N54"/>
  <c r="M49"/>
  <c r="O49" s="1"/>
  <c r="N49"/>
  <c r="Q49" s="1"/>
  <c r="S49" s="1"/>
  <c r="P48"/>
  <c r="R48" s="1"/>
  <c r="Q48"/>
  <c r="S48" s="1"/>
  <c r="Q57"/>
  <c r="S57" s="1"/>
  <c r="Q53"/>
  <c r="S53" s="1"/>
  <c r="N53"/>
  <c r="P53" s="1"/>
  <c r="R53" s="1"/>
  <c r="M53"/>
  <c r="O53" s="1"/>
  <c r="Q52"/>
  <c r="S52" s="1"/>
  <c r="P52"/>
  <c r="R52" s="1"/>
  <c r="N50"/>
  <c r="M50"/>
  <c r="O50" s="1"/>
  <c r="M56"/>
  <c r="O56" s="1"/>
  <c r="K54"/>
  <c r="M52"/>
  <c r="O52" s="1"/>
  <c r="P51"/>
  <c r="R51" s="1"/>
  <c r="K50"/>
  <c r="M48"/>
  <c r="O48" s="1"/>
  <c r="N35"/>
  <c r="M35"/>
  <c r="O35" s="1"/>
  <c r="N27"/>
  <c r="M27"/>
  <c r="O27" s="1"/>
  <c r="N31"/>
  <c r="M31"/>
  <c r="O31" s="1"/>
  <c r="P27"/>
  <c r="R27" s="1"/>
  <c r="Q27"/>
  <c r="S27" s="1"/>
  <c r="M36"/>
  <c r="O36" s="1"/>
  <c r="N36"/>
  <c r="P35"/>
  <c r="R35" s="1"/>
  <c r="Q35"/>
  <c r="S35" s="1"/>
  <c r="P31"/>
  <c r="R31" s="1"/>
  <c r="Q31"/>
  <c r="S31" s="1"/>
  <c r="M28"/>
  <c r="O28" s="1"/>
  <c r="N28"/>
  <c r="Q28" s="1"/>
  <c r="S28" s="1"/>
  <c r="Q29"/>
  <c r="S29" s="1"/>
  <c r="L30"/>
  <c r="P33"/>
  <c r="R33" s="1"/>
  <c r="K36"/>
  <c r="N34"/>
  <c r="P34" s="1"/>
  <c r="R34" s="1"/>
  <c r="M33"/>
  <c r="O33" s="1"/>
  <c r="L32"/>
  <c r="M29"/>
  <c r="O29" s="1"/>
  <c r="P28"/>
  <c r="R28" s="1"/>
  <c r="I79"/>
  <c r="J79"/>
  <c r="K79"/>
  <c r="Q79" s="1"/>
  <c r="S79" s="1"/>
  <c r="L79"/>
  <c r="N79" s="1"/>
  <c r="D80"/>
  <c r="E80"/>
  <c r="L55" l="1"/>
  <c r="K55"/>
  <c r="Q97"/>
  <c r="S97" s="1"/>
  <c r="P97"/>
  <c r="R97" s="1"/>
  <c r="Q96"/>
  <c r="S96" s="1"/>
  <c r="Q93"/>
  <c r="S93" s="1"/>
  <c r="P93"/>
  <c r="R93" s="1"/>
  <c r="Q95"/>
  <c r="S95" s="1"/>
  <c r="N72"/>
  <c r="M72"/>
  <c r="O72" s="1"/>
  <c r="P78"/>
  <c r="R78" s="1"/>
  <c r="Q74"/>
  <c r="S74" s="1"/>
  <c r="N76"/>
  <c r="M76"/>
  <c r="O76" s="1"/>
  <c r="Q50"/>
  <c r="S50" s="1"/>
  <c r="P50"/>
  <c r="R50" s="1"/>
  <c r="Q54"/>
  <c r="S54" s="1"/>
  <c r="P54"/>
  <c r="R54" s="1"/>
  <c r="P49"/>
  <c r="R49" s="1"/>
  <c r="N30"/>
  <c r="M30"/>
  <c r="O30" s="1"/>
  <c r="M32"/>
  <c r="O32" s="1"/>
  <c r="N32"/>
  <c r="Q34"/>
  <c r="S34" s="1"/>
  <c r="Q36"/>
  <c r="S36" s="1"/>
  <c r="P36"/>
  <c r="R36" s="1"/>
  <c r="P79"/>
  <c r="R79" s="1"/>
  <c r="M79"/>
  <c r="O79" s="1"/>
  <c r="I80"/>
  <c r="J80"/>
  <c r="K80"/>
  <c r="Q80" s="1"/>
  <c r="S80" s="1"/>
  <c r="L80"/>
  <c r="N80" s="1"/>
  <c r="D81"/>
  <c r="E81"/>
  <c r="M55" l="1"/>
  <c r="O55" s="1"/>
  <c r="N55"/>
  <c r="Q55" s="1"/>
  <c r="S55" s="1"/>
  <c r="Q76"/>
  <c r="S76" s="1"/>
  <c r="P76"/>
  <c r="R76" s="1"/>
  <c r="P72"/>
  <c r="R72" s="1"/>
  <c r="Q72"/>
  <c r="S72" s="1"/>
  <c r="P32"/>
  <c r="R32" s="1"/>
  <c r="Q32"/>
  <c r="S32" s="1"/>
  <c r="Q30"/>
  <c r="S30" s="1"/>
  <c r="P30"/>
  <c r="R30" s="1"/>
  <c r="P80"/>
  <c r="R80" s="1"/>
  <c r="M80"/>
  <c r="O80" s="1"/>
  <c r="I81"/>
  <c r="J81"/>
  <c r="K81"/>
  <c r="Q81" s="1"/>
  <c r="S81" s="1"/>
  <c r="L81"/>
  <c r="N81" s="1"/>
  <c r="D82"/>
  <c r="E82"/>
  <c r="P55" l="1"/>
  <c r="R55" s="1"/>
  <c r="P81"/>
  <c r="R81" s="1"/>
  <c r="M81"/>
  <c r="O81" s="1"/>
  <c r="I82"/>
  <c r="J82"/>
  <c r="K82"/>
  <c r="Q82" s="1"/>
  <c r="S82" s="1"/>
  <c r="L82"/>
  <c r="N82" s="1"/>
  <c r="D83"/>
  <c r="E83"/>
  <c r="P82" l="1"/>
  <c r="R82" s="1"/>
  <c r="M82"/>
  <c r="O82" s="1"/>
  <c r="I83"/>
  <c r="J83"/>
  <c r="K83"/>
  <c r="Q83" s="1"/>
  <c r="S83" s="1"/>
  <c r="L83"/>
  <c r="N83" s="1"/>
  <c r="D84"/>
  <c r="E84"/>
  <c r="M83" l="1"/>
  <c r="O83" s="1"/>
  <c r="P83"/>
  <c r="R83" s="1"/>
  <c r="I84"/>
  <c r="J84"/>
  <c r="L84" s="1"/>
  <c r="N84" s="1"/>
  <c r="D85"/>
  <c r="E85"/>
  <c r="K84" l="1"/>
  <c r="P84" s="1"/>
  <c r="R84" s="1"/>
  <c r="M84"/>
  <c r="O84" s="1"/>
  <c r="I85"/>
  <c r="K85" s="1"/>
  <c r="J85"/>
  <c r="D86"/>
  <c r="E86"/>
  <c r="L85" l="1"/>
  <c r="M85" s="1"/>
  <c r="O85" s="1"/>
  <c r="Q84"/>
  <c r="S84" s="1"/>
  <c r="N85"/>
  <c r="P85" s="1"/>
  <c r="R85" s="1"/>
  <c r="I86"/>
  <c r="K86" s="1"/>
  <c r="J86"/>
  <c r="D87"/>
  <c r="E87"/>
  <c r="L86" l="1"/>
  <c r="N86" s="1"/>
  <c r="Q86" s="1"/>
  <c r="S86" s="1"/>
  <c r="Q85"/>
  <c r="S85" s="1"/>
  <c r="I87"/>
  <c r="K87" s="1"/>
  <c r="J87"/>
  <c r="L87" s="1"/>
  <c r="N87" s="1"/>
  <c r="D88"/>
  <c r="E88"/>
  <c r="M86" l="1"/>
  <c r="O86" s="1"/>
  <c r="Q87"/>
  <c r="S87" s="1"/>
  <c r="P87"/>
  <c r="R87" s="1"/>
  <c r="M87"/>
  <c r="O87" s="1"/>
  <c r="P86"/>
  <c r="R86" s="1"/>
  <c r="I88"/>
  <c r="K88" s="1"/>
  <c r="J88"/>
  <c r="L88" l="1"/>
  <c r="N88" s="1"/>
  <c r="N15"/>
  <c r="R31" i="4"/>
  <c r="R32"/>
  <c r="R28"/>
  <c r="R29"/>
  <c r="R27"/>
  <c r="R25"/>
  <c r="R26"/>
  <c r="R24"/>
  <c r="R22"/>
  <c r="R23"/>
  <c r="R21"/>
  <c r="R20"/>
  <c r="P21"/>
  <c r="Q21"/>
  <c r="P22"/>
  <c r="Q22"/>
  <c r="P23"/>
  <c r="Q23"/>
  <c r="P24"/>
  <c r="Q24"/>
  <c r="P25"/>
  <c r="Q25"/>
  <c r="P26"/>
  <c r="Q26"/>
  <c r="P27"/>
  <c r="Q27"/>
  <c r="P28"/>
  <c r="Q28"/>
  <c r="P29"/>
  <c r="Q29"/>
  <c r="P30"/>
  <c r="Q30"/>
  <c r="R30" s="1"/>
  <c r="J7" s="1"/>
  <c r="J4" s="1"/>
  <c r="J3" s="1"/>
  <c r="J2" s="1"/>
  <c r="P31"/>
  <c r="Q31"/>
  <c r="P32"/>
  <c r="Q32"/>
  <c r="Q20"/>
  <c r="P20"/>
  <c r="H31"/>
  <c r="I31"/>
  <c r="H32"/>
  <c r="I32"/>
  <c r="I30"/>
  <c r="H30"/>
  <c r="H28"/>
  <c r="I28"/>
  <c r="H29"/>
  <c r="I29"/>
  <c r="I27"/>
  <c r="H27"/>
  <c r="H25"/>
  <c r="I25"/>
  <c r="H26"/>
  <c r="I26"/>
  <c r="I24"/>
  <c r="H24"/>
  <c r="H22"/>
  <c r="I22"/>
  <c r="H23"/>
  <c r="I23"/>
  <c r="I21"/>
  <c r="H21"/>
  <c r="J4" i="2"/>
  <c r="J3" s="1"/>
  <c r="J2" s="1"/>
  <c r="B21" i="3"/>
  <c r="A54"/>
  <c r="A1"/>
  <c r="A7"/>
  <c r="I5" i="1"/>
  <c r="J15" s="1"/>
  <c r="J11" s="1"/>
  <c r="I4"/>
  <c r="J7" s="1"/>
  <c r="J3" s="1"/>
  <c r="A2" i="3"/>
  <c r="A65"/>
  <c r="A42"/>
  <c r="A22"/>
  <c r="E89" i="5"/>
  <c r="E45"/>
  <c r="E16"/>
  <c r="D43"/>
  <c r="E42"/>
  <c r="D40"/>
  <c r="E43"/>
  <c r="E37"/>
  <c r="D41"/>
  <c r="E40"/>
  <c r="D37"/>
  <c r="D46"/>
  <c r="D38"/>
  <c r="E41"/>
  <c r="D16"/>
  <c r="D39"/>
  <c r="D47"/>
  <c r="E38"/>
  <c r="E46"/>
  <c r="D68"/>
  <c r="D44"/>
  <c r="E39"/>
  <c r="E47"/>
  <c r="D89"/>
  <c r="D45"/>
  <c r="E68"/>
  <c r="E44"/>
  <c r="D42"/>
  <c r="E60"/>
  <c r="D61"/>
  <c r="E64"/>
  <c r="D65"/>
  <c r="E59"/>
  <c r="D60"/>
  <c r="E63"/>
  <c r="D64"/>
  <c r="E67"/>
  <c r="E58"/>
  <c r="D59"/>
  <c r="E62"/>
  <c r="D63"/>
  <c r="E66"/>
  <c r="D67"/>
  <c r="D58"/>
  <c r="E61"/>
  <c r="D62"/>
  <c r="E65"/>
  <c r="D66"/>
  <c r="E24"/>
  <c r="E23"/>
  <c r="D21"/>
  <c r="E20"/>
  <c r="D23"/>
  <c r="E19"/>
  <c r="D26"/>
  <c r="D19"/>
  <c r="D22"/>
  <c r="E26"/>
  <c r="D20"/>
  <c r="D24"/>
  <c r="E22"/>
  <c r="E25"/>
  <c r="D25"/>
  <c r="E21"/>
  <c r="E18"/>
  <c r="D18"/>
  <c r="D17"/>
  <c r="E17"/>
  <c r="Q88" l="1"/>
  <c r="S88" s="1"/>
  <c r="P88"/>
  <c r="R88" s="1"/>
  <c r="M88"/>
  <c r="O88" s="1"/>
  <c r="I66"/>
  <c r="J65"/>
  <c r="I62"/>
  <c r="J61"/>
  <c r="I58"/>
  <c r="I67"/>
  <c r="K67" s="1"/>
  <c r="J66"/>
  <c r="I63"/>
  <c r="J62"/>
  <c r="I59"/>
  <c r="K59" s="1"/>
  <c r="J58"/>
  <c r="J67"/>
  <c r="I64"/>
  <c r="J63"/>
  <c r="L63" s="1"/>
  <c r="I60"/>
  <c r="J59"/>
  <c r="I65"/>
  <c r="J64"/>
  <c r="I61"/>
  <c r="K61" s="1"/>
  <c r="J60"/>
  <c r="J21"/>
  <c r="J17"/>
  <c r="J25"/>
  <c r="J26"/>
  <c r="J22"/>
  <c r="J18"/>
  <c r="J46"/>
  <c r="J44"/>
  <c r="J42"/>
  <c r="J40"/>
  <c r="J38"/>
  <c r="J68"/>
  <c r="J23"/>
  <c r="J19"/>
  <c r="J37"/>
  <c r="J24"/>
  <c r="J20"/>
  <c r="J47"/>
  <c r="J45"/>
  <c r="J43"/>
  <c r="J41"/>
  <c r="J39"/>
  <c r="J89"/>
  <c r="J16"/>
  <c r="I24"/>
  <c r="I25"/>
  <c r="L25" s="1"/>
  <c r="I46"/>
  <c r="L46" s="1"/>
  <c r="I44"/>
  <c r="I42"/>
  <c r="I40"/>
  <c r="I38"/>
  <c r="L38" s="1"/>
  <c r="I68"/>
  <c r="I37"/>
  <c r="I20"/>
  <c r="I17"/>
  <c r="I21"/>
  <c r="I26"/>
  <c r="I18"/>
  <c r="I47"/>
  <c r="I45"/>
  <c r="I43"/>
  <c r="I41"/>
  <c r="I39"/>
  <c r="I89"/>
  <c r="I22"/>
  <c r="I23"/>
  <c r="K23" s="1"/>
  <c r="I19"/>
  <c r="I16"/>
  <c r="K16" s="1"/>
  <c r="J2" i="1"/>
  <c r="L41" i="5" l="1"/>
  <c r="M41" s="1"/>
  <c r="O41" s="1"/>
  <c r="L37"/>
  <c r="N37" s="1"/>
  <c r="K60"/>
  <c r="K18"/>
  <c r="L42"/>
  <c r="M42" s="1"/>
  <c r="O42" s="1"/>
  <c r="K65"/>
  <c r="K64"/>
  <c r="L62"/>
  <c r="K58"/>
  <c r="K66"/>
  <c r="L45"/>
  <c r="K17"/>
  <c r="L89"/>
  <c r="N89" s="1"/>
  <c r="L24"/>
  <c r="N24" s="1"/>
  <c r="N62"/>
  <c r="M62"/>
  <c r="O62" s="1"/>
  <c r="L64"/>
  <c r="K62"/>
  <c r="M63"/>
  <c r="O63" s="1"/>
  <c r="N63"/>
  <c r="L65"/>
  <c r="L58"/>
  <c r="L66"/>
  <c r="L60"/>
  <c r="L59"/>
  <c r="L67"/>
  <c r="K63"/>
  <c r="L61"/>
  <c r="K21"/>
  <c r="K26"/>
  <c r="L39"/>
  <c r="N39" s="1"/>
  <c r="L43"/>
  <c r="M43" s="1"/>
  <c r="O43" s="1"/>
  <c r="L47"/>
  <c r="N47" s="1"/>
  <c r="K19"/>
  <c r="K22"/>
  <c r="L68"/>
  <c r="N68" s="1"/>
  <c r="L40"/>
  <c r="N40" s="1"/>
  <c r="L44"/>
  <c r="M44" s="1"/>
  <c r="O44" s="1"/>
  <c r="L20"/>
  <c r="M20" s="1"/>
  <c r="O20" s="1"/>
  <c r="M39"/>
  <c r="O39" s="1"/>
  <c r="N43"/>
  <c r="M37"/>
  <c r="O37" s="1"/>
  <c r="M25"/>
  <c r="O25" s="1"/>
  <c r="N25"/>
  <c r="M38"/>
  <c r="O38" s="1"/>
  <c r="N38"/>
  <c r="N42"/>
  <c r="M46"/>
  <c r="O46" s="1"/>
  <c r="N46"/>
  <c r="N41"/>
  <c r="M45"/>
  <c r="O45" s="1"/>
  <c r="N45"/>
  <c r="L18"/>
  <c r="L26"/>
  <c r="K38"/>
  <c r="K42"/>
  <c r="K46"/>
  <c r="K24"/>
  <c r="K39"/>
  <c r="K43"/>
  <c r="K47"/>
  <c r="L23"/>
  <c r="K37"/>
  <c r="L21"/>
  <c r="L22"/>
  <c r="K20"/>
  <c r="K68"/>
  <c r="K40"/>
  <c r="K44"/>
  <c r="K89"/>
  <c r="K41"/>
  <c r="K45"/>
  <c r="L19"/>
  <c r="L17"/>
  <c r="K25"/>
  <c r="L16"/>
  <c r="M89" l="1"/>
  <c r="O89" s="1"/>
  <c r="N44"/>
  <c r="Q40"/>
  <c r="S40" s="1"/>
  <c r="Q41"/>
  <c r="S41" s="1"/>
  <c r="Q47"/>
  <c r="S47" s="1"/>
  <c r="Q89"/>
  <c r="S89" s="1"/>
  <c r="M40"/>
  <c r="O40" s="1"/>
  <c r="Q38"/>
  <c r="S38" s="1"/>
  <c r="Q37"/>
  <c r="S37" s="1"/>
  <c r="Q68"/>
  <c r="S68" s="1"/>
  <c r="M24"/>
  <c r="O24" s="1"/>
  <c r="N61"/>
  <c r="M61"/>
  <c r="O61" s="1"/>
  <c r="Q62"/>
  <c r="S62" s="1"/>
  <c r="P62"/>
  <c r="R62" s="1"/>
  <c r="N66"/>
  <c r="M66"/>
  <c r="O66" s="1"/>
  <c r="M59"/>
  <c r="O59" s="1"/>
  <c r="N59"/>
  <c r="N65"/>
  <c r="M65"/>
  <c r="O65" s="1"/>
  <c r="Q63"/>
  <c r="S63" s="1"/>
  <c r="P63"/>
  <c r="R63" s="1"/>
  <c r="N64"/>
  <c r="M64"/>
  <c r="O64" s="1"/>
  <c r="N60"/>
  <c r="M60"/>
  <c r="O60" s="1"/>
  <c r="M67"/>
  <c r="O67" s="1"/>
  <c r="N67"/>
  <c r="N58"/>
  <c r="M58"/>
  <c r="O58" s="1"/>
  <c r="Q46"/>
  <c r="S46" s="1"/>
  <c r="Q44"/>
  <c r="S44" s="1"/>
  <c r="Q25"/>
  <c r="S25" s="1"/>
  <c r="M47"/>
  <c r="O47" s="1"/>
  <c r="Q24"/>
  <c r="S24" s="1"/>
  <c r="Q39"/>
  <c r="S39" s="1"/>
  <c r="Q43"/>
  <c r="S43" s="1"/>
  <c r="Q45"/>
  <c r="S45" s="1"/>
  <c r="Q42"/>
  <c r="S42" s="1"/>
  <c r="M68"/>
  <c r="O68" s="1"/>
  <c r="N20"/>
  <c r="Q20" s="1"/>
  <c r="S20" s="1"/>
  <c r="P40"/>
  <c r="R40" s="1"/>
  <c r="P41"/>
  <c r="R41" s="1"/>
  <c r="P89"/>
  <c r="R89" s="1"/>
  <c r="P42"/>
  <c r="R42" s="1"/>
  <c r="P25"/>
  <c r="R25" s="1"/>
  <c r="P47"/>
  <c r="R47" s="1"/>
  <c r="P39"/>
  <c r="R39" s="1"/>
  <c r="P45"/>
  <c r="R45" s="1"/>
  <c r="P46"/>
  <c r="R46" s="1"/>
  <c r="P38"/>
  <c r="R38" s="1"/>
  <c r="P37"/>
  <c r="R37" s="1"/>
  <c r="P43"/>
  <c r="R43" s="1"/>
  <c r="P44"/>
  <c r="R44" s="1"/>
  <c r="P68"/>
  <c r="R68" s="1"/>
  <c r="P24"/>
  <c r="R24" s="1"/>
  <c r="M16"/>
  <c r="O16" s="1"/>
  <c r="N16"/>
  <c r="M22"/>
  <c r="O22" s="1"/>
  <c r="N22"/>
  <c r="M19"/>
  <c r="O19" s="1"/>
  <c r="N19"/>
  <c r="M18"/>
  <c r="O18" s="1"/>
  <c r="N18"/>
  <c r="M26"/>
  <c r="O26" s="1"/>
  <c r="N26"/>
  <c r="M17"/>
  <c r="O17" s="1"/>
  <c r="N17"/>
  <c r="M21"/>
  <c r="O21" s="1"/>
  <c r="N21"/>
  <c r="M23"/>
  <c r="O23" s="1"/>
  <c r="N23"/>
  <c r="Q65" l="1"/>
  <c r="S65" s="1"/>
  <c r="P65"/>
  <c r="R65" s="1"/>
  <c r="P67"/>
  <c r="R67" s="1"/>
  <c r="Q67"/>
  <c r="S67" s="1"/>
  <c r="Q64"/>
  <c r="S64" s="1"/>
  <c r="P64"/>
  <c r="R64" s="1"/>
  <c r="P66"/>
  <c r="R66" s="1"/>
  <c r="Q66"/>
  <c r="S66" s="1"/>
  <c r="P58"/>
  <c r="R58" s="1"/>
  <c r="Q58"/>
  <c r="S58" s="1"/>
  <c r="Q60"/>
  <c r="S60" s="1"/>
  <c r="P60"/>
  <c r="R60" s="1"/>
  <c r="Q61"/>
  <c r="S61" s="1"/>
  <c r="P61"/>
  <c r="R61" s="1"/>
  <c r="Q59"/>
  <c r="S59" s="1"/>
  <c r="P59"/>
  <c r="R59" s="1"/>
  <c r="P17"/>
  <c r="R17" s="1"/>
  <c r="Q17"/>
  <c r="S17" s="1"/>
  <c r="P16"/>
  <c r="R16" s="1"/>
  <c r="Q16"/>
  <c r="S16" s="1"/>
  <c r="P19"/>
  <c r="R19" s="1"/>
  <c r="Q19"/>
  <c r="S19" s="1"/>
  <c r="P23"/>
  <c r="R23" s="1"/>
  <c r="Q23"/>
  <c r="S23" s="1"/>
  <c r="P22"/>
  <c r="R22" s="1"/>
  <c r="Q22"/>
  <c r="S22" s="1"/>
  <c r="P20"/>
  <c r="R20" s="1"/>
  <c r="P18"/>
  <c r="R18" s="1"/>
  <c r="Q18"/>
  <c r="S18" s="1"/>
  <c r="P21"/>
  <c r="R21" s="1"/>
  <c r="Q21"/>
  <c r="S21" s="1"/>
  <c r="P26"/>
  <c r="R26" s="1"/>
  <c r="Q26"/>
  <c r="S26" s="1"/>
</calcChain>
</file>

<file path=xl/sharedStrings.xml><?xml version="1.0" encoding="utf-8"?>
<sst xmlns="http://schemas.openxmlformats.org/spreadsheetml/2006/main" count="126" uniqueCount="96">
  <si>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</si>
  <si>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</si>
  <si>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</si>
  <si>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</si>
  <si>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</si>
  <si>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</si>
  <si>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</si>
  <si>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</si>
  <si>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</si>
  <si>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</si>
  <si>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</si>
  <si>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</si>
  <si>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</si>
  <si>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</si>
  <si>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</si>
  <si>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</si>
  <si>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</si>
  <si>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</si>
  <si>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</si>
  <si>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</si>
  <si>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</si>
  <si>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</si>
  <si>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</si>
  <si>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</si>
  <si>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</si>
  <si>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</si>
  <si>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</si>
  <si>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</si>
  <si>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</si>
  <si>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</si>
  <si>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</si>
  <si>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</si>
  <si>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</si>
  <si>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</si>
  <si>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</si>
  <si>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</si>
  <si>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</si>
  <si>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</si>
  <si>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</si>
  <si>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</si>
  <si>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</si>
  <si>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</si>
  <si>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</si>
  <si>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</si>
  <si>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</si>
  <si>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</si>
  <si>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</si>
  <si>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</si>
  <si>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</si>
  <si>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</si>
  <si>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</si>
  <si>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</si>
  <si>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</si>
  <si>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&lt;path</t>
  </si>
  <si>
    <t xml:space="preserve">       style="fill:none;stroke:#000000;stroke-width:0.26px;stroke-linecap:butt;stroke-linejoin:miter;stroke-opacity:1"</t>
  </si>
  <si>
    <t xml:space="preserve">       id="path10"</t>
  </si>
  <si>
    <t xml:space="preserve">       inkscape:connector-curvature="0" /&gt;</t>
  </si>
  <si>
    <t xml:space="preserve">    &lt;path</t>
  </si>
  <si>
    <t xml:space="preserve">       id="path12"</t>
  </si>
  <si>
    <t>L</t>
  </si>
  <si>
    <t>W</t>
  </si>
  <si>
    <t>espelho11</t>
  </si>
  <si>
    <t xml:space="preserve">     id="layer1"&gt;</t>
  </si>
  <si>
    <t>espelho12</t>
  </si>
  <si>
    <t xml:space="preserve">       id="path16"</t>
  </si>
  <si>
    <t xml:space="preserve">       inkscape:connector-curvature="0"</t>
  </si>
  <si>
    <t xml:space="preserve">       sodipodi:nodetypes="cc" /&gt;</t>
  </si>
  <si>
    <t xml:space="preserve">       d="M 100.00, 0.00   C 87.00, 7.00    87.00, 11.00    93.00, 11.00"</t>
  </si>
  <si>
    <t>espelho13</t>
  </si>
  <si>
    <t xml:space="preserve">       id="path13"</t>
  </si>
  <si>
    <t xml:space="preserve">       sodipodi:nodetypes="cszsc" /&gt;</t>
  </si>
  <si>
    <t xml:space="preserve">       d="m 100,0 c -13,7      -13,11     -7,11    ||  4,0     4,3     -3,8   ||  -7,5    -9,4     -8,1  ||  1,-5     -6,-2     -7,5"</t>
  </si>
  <si>
    <t>https://ru.qwe.wiki/wiki/bezier_curve#Cubic_B%C3%A9zier_curves</t>
  </si>
  <si>
    <t>x</t>
  </si>
  <si>
    <t>y</t>
  </si>
  <si>
    <t>https://www.breezetree.com/articles/excel-autoshapes-vba</t>
  </si>
  <si>
    <t>https://www.wikihow.com/Acquire-B%C3%A9zier-Curves-Using-Excel</t>
  </si>
  <si>
    <t>G21 G90 G40</t>
  </si>
  <si>
    <t>G00 Z06.0 S8000 M3</t>
  </si>
  <si>
    <t>G00 X0.00 Y0.00</t>
  </si>
  <si>
    <t>M05</t>
  </si>
  <si>
    <t>M30</t>
  </si>
  <si>
    <t>G00 X26.21 Y18.35</t>
  </si>
  <si>
    <t>G01 Z-5 F10</t>
  </si>
  <si>
    <t>G00 Z00.0</t>
  </si>
  <si>
    <t>G00 Z05.0</t>
  </si>
  <si>
    <t>coordenadas polares</t>
  </si>
  <si>
    <t>distância</t>
  </si>
  <si>
    <t>ângulo</t>
  </si>
  <si>
    <t>graus</t>
  </si>
  <si>
    <t>radianos</t>
  </si>
  <si>
    <t>volta</t>
  </si>
  <si>
    <t>coordenadas cartesianas</t>
  </si>
  <si>
    <t>centro</t>
  </si>
  <si>
    <t>Line1</t>
  </si>
  <si>
    <t>Line2</t>
  </si>
</sst>
</file>

<file path=xl/styles.xml><?xml version="1.0" encoding="utf-8"?>
<styleSheet xmlns="http://schemas.openxmlformats.org/spreadsheetml/2006/main">
  <numFmts count="1">
    <numFmt numFmtId="164" formatCode="0.000"/>
  </numFmts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2" fontId="0" fillId="2" borderId="0" xfId="0" applyNumberFormat="1" applyFill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2" fontId="0" fillId="8" borderId="0" xfId="0" applyNumberFormat="1" applyFill="1"/>
    <xf numFmtId="164" fontId="0" fillId="8" borderId="0" xfId="0" applyNumberFormat="1" applyFill="1"/>
    <xf numFmtId="164" fontId="0" fillId="0" borderId="1" xfId="0" applyNumberFormat="1" applyBorder="1" applyProtection="1"/>
    <xf numFmtId="0" fontId="0" fillId="2" borderId="0" xfId="0" applyFill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right" vertical="top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0</xdr:row>
      <xdr:rowOff>180976</xdr:rowOff>
    </xdr:from>
    <xdr:to>
      <xdr:col>5</xdr:col>
      <xdr:colOff>266700</xdr:colOff>
      <xdr:row>17</xdr:row>
      <xdr:rowOff>176296</xdr:rowOff>
    </xdr:to>
    <xdr:pic>
      <xdr:nvPicPr>
        <xdr:cNvPr id="2" name="Рисунок 1" descr="Espelo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8126" y="180976"/>
          <a:ext cx="3076574" cy="3233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104775</xdr:rowOff>
    </xdr:from>
    <xdr:to>
      <xdr:col>9</xdr:col>
      <xdr:colOff>123825</xdr:colOff>
      <xdr:row>17</xdr:row>
      <xdr:rowOff>152400</xdr:rowOff>
    </xdr:to>
    <xdr:pic>
      <xdr:nvPicPr>
        <xdr:cNvPr id="2" name="Рисунок 1" descr="cubi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95275"/>
          <a:ext cx="4876800" cy="3095625"/>
        </a:xfrm>
        <a:prstGeom prst="rect">
          <a:avLst/>
        </a:prstGeom>
      </xdr:spPr>
    </xdr:pic>
    <xdr:clientData/>
  </xdr:twoCellAnchor>
  <xdr:twoCellAnchor editAs="oneCell">
    <xdr:from>
      <xdr:col>9</xdr:col>
      <xdr:colOff>295275</xdr:colOff>
      <xdr:row>11</xdr:row>
      <xdr:rowOff>85724</xdr:rowOff>
    </xdr:from>
    <xdr:to>
      <xdr:col>14</xdr:col>
      <xdr:colOff>245633</xdr:colOff>
      <xdr:row>18</xdr:row>
      <xdr:rowOff>152399</xdr:rowOff>
    </xdr:to>
    <xdr:pic>
      <xdr:nvPicPr>
        <xdr:cNvPr id="4" name="Рисунок 3" descr="Espelho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81675" y="2181224"/>
          <a:ext cx="2998358" cy="1400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2</xdr:row>
      <xdr:rowOff>19051</xdr:rowOff>
    </xdr:from>
    <xdr:to>
      <xdr:col>6</xdr:col>
      <xdr:colOff>342900</xdr:colOff>
      <xdr:row>20</xdr:row>
      <xdr:rowOff>49879</xdr:rowOff>
    </xdr:to>
    <xdr:pic>
      <xdr:nvPicPr>
        <xdr:cNvPr id="2" name="Рисунок 1" descr="Espelho3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5" y="400051"/>
          <a:ext cx="3876675" cy="34598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19050</xdr:rowOff>
    </xdr:from>
    <xdr:to>
      <xdr:col>9</xdr:col>
      <xdr:colOff>266700</xdr:colOff>
      <xdr:row>3</xdr:row>
      <xdr:rowOff>104775</xdr:rowOff>
    </xdr:to>
    <xdr:pic>
      <xdr:nvPicPr>
        <xdr:cNvPr id="40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209550"/>
          <a:ext cx="5695950" cy="466725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  <xdr:twoCellAnchor>
    <xdr:from>
      <xdr:col>10</xdr:col>
      <xdr:colOff>254000</xdr:colOff>
      <xdr:row>6</xdr:row>
      <xdr:rowOff>127000</xdr:rowOff>
    </xdr:from>
    <xdr:to>
      <xdr:col>18</xdr:col>
      <xdr:colOff>457200</xdr:colOff>
      <xdr:row>6</xdr:row>
      <xdr:rowOff>127000</xdr:rowOff>
    </xdr:to>
    <xdr:cxnSp macro="">
      <xdr:nvCxnSpPr>
        <xdr:cNvPr id="846" name="Прямая соединительная линия 845"/>
        <xdr:cNvCxnSpPr/>
      </xdr:nvCxnSpPr>
      <xdr:spPr>
        <a:xfrm>
          <a:off x="6350000" y="1270000"/>
          <a:ext cx="5080000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457200</xdr:colOff>
      <xdr:row>6</xdr:row>
      <xdr:rowOff>127000</xdr:rowOff>
    </xdr:from>
    <xdr:to>
      <xdr:col>18</xdr:col>
      <xdr:colOff>457200</xdr:colOff>
      <xdr:row>32</xdr:row>
      <xdr:rowOff>149225</xdr:rowOff>
    </xdr:to>
    <xdr:cxnSp macro="">
      <xdr:nvCxnSpPr>
        <xdr:cNvPr id="847" name="Прямая соединительная линия 846"/>
        <xdr:cNvCxnSpPr/>
      </xdr:nvCxnSpPr>
      <xdr:spPr>
        <a:xfrm>
          <a:off x="11430000" y="1270000"/>
          <a:ext cx="0" cy="508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254000</xdr:colOff>
      <xdr:row>32</xdr:row>
      <xdr:rowOff>149225</xdr:rowOff>
    </xdr:from>
    <xdr:to>
      <xdr:col>18</xdr:col>
      <xdr:colOff>457200</xdr:colOff>
      <xdr:row>32</xdr:row>
      <xdr:rowOff>149225</xdr:rowOff>
    </xdr:to>
    <xdr:cxnSp macro="">
      <xdr:nvCxnSpPr>
        <xdr:cNvPr id="848" name="Прямая соединительная линия 847"/>
        <xdr:cNvCxnSpPr/>
      </xdr:nvCxnSpPr>
      <xdr:spPr>
        <a:xfrm flipH="1">
          <a:off x="6350000" y="6350000"/>
          <a:ext cx="5080000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254000</xdr:colOff>
      <xdr:row>6</xdr:row>
      <xdr:rowOff>127000</xdr:rowOff>
    </xdr:from>
    <xdr:to>
      <xdr:col>10</xdr:col>
      <xdr:colOff>254000</xdr:colOff>
      <xdr:row>32</xdr:row>
      <xdr:rowOff>149225</xdr:rowOff>
    </xdr:to>
    <xdr:cxnSp macro="">
      <xdr:nvCxnSpPr>
        <xdr:cNvPr id="849" name="Прямая соединительная линия 848"/>
        <xdr:cNvCxnSpPr/>
      </xdr:nvCxnSpPr>
      <xdr:spPr>
        <a:xfrm flipV="1">
          <a:off x="6350000" y="1270000"/>
          <a:ext cx="0" cy="508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12</xdr:row>
      <xdr:rowOff>254000</xdr:rowOff>
    </xdr:from>
    <xdr:to>
      <xdr:col>16</xdr:col>
      <xdr:colOff>406400</xdr:colOff>
      <xdr:row>12</xdr:row>
      <xdr:rowOff>254000</xdr:rowOff>
    </xdr:to>
    <xdr:cxnSp macro="">
      <xdr:nvCxnSpPr>
        <xdr:cNvPr id="850" name="Прямая соединительная линия 849"/>
        <xdr:cNvCxnSpPr/>
      </xdr:nvCxnSpPr>
      <xdr:spPr>
        <a:xfrm>
          <a:off x="7620000" y="2540000"/>
          <a:ext cx="2540000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363048</xdr:colOff>
      <xdr:row>6</xdr:row>
      <xdr:rowOff>127000</xdr:rowOff>
    </xdr:from>
    <xdr:to>
      <xdr:col>18</xdr:col>
      <xdr:colOff>457200</xdr:colOff>
      <xdr:row>6</xdr:row>
      <xdr:rowOff>179190</xdr:rowOff>
    </xdr:to>
    <xdr:cxnSp macro="">
      <xdr:nvCxnSpPr>
        <xdr:cNvPr id="851" name="Прямая соединительная линия 850"/>
        <xdr:cNvCxnSpPr/>
      </xdr:nvCxnSpPr>
      <xdr:spPr>
        <a:xfrm flipH="1">
          <a:off x="11335848" y="1270000"/>
          <a:ext cx="94152" cy="52190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278536</xdr:colOff>
      <xdr:row>6</xdr:row>
      <xdr:rowOff>179190</xdr:rowOff>
    </xdr:from>
    <xdr:to>
      <xdr:col>18</xdr:col>
      <xdr:colOff>363048</xdr:colOff>
      <xdr:row>7</xdr:row>
      <xdr:rowOff>38557</xdr:rowOff>
    </xdr:to>
    <xdr:cxnSp macro="">
      <xdr:nvCxnSpPr>
        <xdr:cNvPr id="852" name="Прямая соединительная линия 851"/>
        <xdr:cNvCxnSpPr/>
      </xdr:nvCxnSpPr>
      <xdr:spPr>
        <a:xfrm flipH="1">
          <a:off x="11251336" y="1322190"/>
          <a:ext cx="84512" cy="4986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203396</xdr:colOff>
      <xdr:row>7</xdr:row>
      <xdr:rowOff>38557</xdr:rowOff>
    </xdr:from>
    <xdr:to>
      <xdr:col>18</xdr:col>
      <xdr:colOff>278536</xdr:colOff>
      <xdr:row>7</xdr:row>
      <xdr:rowOff>86061</xdr:rowOff>
    </xdr:to>
    <xdr:cxnSp macro="">
      <xdr:nvCxnSpPr>
        <xdr:cNvPr id="853" name="Прямая соединительная линия 852"/>
        <xdr:cNvCxnSpPr/>
      </xdr:nvCxnSpPr>
      <xdr:spPr>
        <a:xfrm flipH="1">
          <a:off x="11176196" y="1372057"/>
          <a:ext cx="75140" cy="475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137362</xdr:colOff>
      <xdr:row>7</xdr:row>
      <xdr:rowOff>86061</xdr:rowOff>
    </xdr:from>
    <xdr:to>
      <xdr:col>18</xdr:col>
      <xdr:colOff>203396</xdr:colOff>
      <xdr:row>7</xdr:row>
      <xdr:rowOff>131165</xdr:rowOff>
    </xdr:to>
    <xdr:cxnSp macro="">
      <xdr:nvCxnSpPr>
        <xdr:cNvPr id="854" name="Прямая соединительная линия 853"/>
        <xdr:cNvCxnSpPr/>
      </xdr:nvCxnSpPr>
      <xdr:spPr>
        <a:xfrm flipH="1">
          <a:off x="11110162" y="1419561"/>
          <a:ext cx="66034" cy="451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80168</xdr:colOff>
      <xdr:row>7</xdr:row>
      <xdr:rowOff>131165</xdr:rowOff>
    </xdr:from>
    <xdr:to>
      <xdr:col>18</xdr:col>
      <xdr:colOff>137362</xdr:colOff>
      <xdr:row>7</xdr:row>
      <xdr:rowOff>173831</xdr:rowOff>
    </xdr:to>
    <xdr:cxnSp macro="">
      <xdr:nvCxnSpPr>
        <xdr:cNvPr id="855" name="Прямая соединительная линия 854"/>
        <xdr:cNvCxnSpPr/>
      </xdr:nvCxnSpPr>
      <xdr:spPr>
        <a:xfrm flipH="1">
          <a:off x="11052968" y="1464665"/>
          <a:ext cx="57194" cy="4266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31546</xdr:colOff>
      <xdr:row>7</xdr:row>
      <xdr:rowOff>173831</xdr:rowOff>
    </xdr:from>
    <xdr:to>
      <xdr:col>18</xdr:col>
      <xdr:colOff>80168</xdr:colOff>
      <xdr:row>8</xdr:row>
      <xdr:rowOff>23520</xdr:rowOff>
    </xdr:to>
    <xdr:cxnSp macro="">
      <xdr:nvCxnSpPr>
        <xdr:cNvPr id="856" name="Прямая соединительная линия 855"/>
        <xdr:cNvCxnSpPr/>
      </xdr:nvCxnSpPr>
      <xdr:spPr>
        <a:xfrm flipH="1">
          <a:off x="11004346" y="1507331"/>
          <a:ext cx="48622" cy="4018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600830</xdr:colOff>
      <xdr:row>8</xdr:row>
      <xdr:rowOff>23520</xdr:rowOff>
    </xdr:from>
    <xdr:to>
      <xdr:col>18</xdr:col>
      <xdr:colOff>31546</xdr:colOff>
      <xdr:row>8</xdr:row>
      <xdr:rowOff>61194</xdr:rowOff>
    </xdr:to>
    <xdr:cxnSp macro="">
      <xdr:nvCxnSpPr>
        <xdr:cNvPr id="857" name="Прямая соединительная линия 856"/>
        <xdr:cNvCxnSpPr/>
      </xdr:nvCxnSpPr>
      <xdr:spPr>
        <a:xfrm flipH="1">
          <a:off x="10964030" y="1547520"/>
          <a:ext cx="40316" cy="3767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568553</xdr:colOff>
      <xdr:row>8</xdr:row>
      <xdr:rowOff>61194</xdr:rowOff>
    </xdr:from>
    <xdr:to>
      <xdr:col>17</xdr:col>
      <xdr:colOff>600830</xdr:colOff>
      <xdr:row>8</xdr:row>
      <xdr:rowOff>96316</xdr:rowOff>
    </xdr:to>
    <xdr:cxnSp macro="">
      <xdr:nvCxnSpPr>
        <xdr:cNvPr id="858" name="Прямая соединительная линия 857"/>
        <xdr:cNvCxnSpPr/>
      </xdr:nvCxnSpPr>
      <xdr:spPr>
        <a:xfrm flipH="1">
          <a:off x="10931753" y="1585194"/>
          <a:ext cx="32277" cy="3512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544048</xdr:colOff>
      <xdr:row>8</xdr:row>
      <xdr:rowOff>96316</xdr:rowOff>
    </xdr:from>
    <xdr:to>
      <xdr:col>17</xdr:col>
      <xdr:colOff>568553</xdr:colOff>
      <xdr:row>8</xdr:row>
      <xdr:rowOff>128847</xdr:rowOff>
    </xdr:to>
    <xdr:cxnSp macro="">
      <xdr:nvCxnSpPr>
        <xdr:cNvPr id="859" name="Прямая соединительная линия 858"/>
        <xdr:cNvCxnSpPr/>
      </xdr:nvCxnSpPr>
      <xdr:spPr>
        <a:xfrm flipH="1">
          <a:off x="10907248" y="1620316"/>
          <a:ext cx="24505" cy="3253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527050</xdr:colOff>
      <xdr:row>8</xdr:row>
      <xdr:rowOff>128847</xdr:rowOff>
    </xdr:from>
    <xdr:to>
      <xdr:col>17</xdr:col>
      <xdr:colOff>544048</xdr:colOff>
      <xdr:row>8</xdr:row>
      <xdr:rowOff>158750</xdr:rowOff>
    </xdr:to>
    <xdr:cxnSp macro="">
      <xdr:nvCxnSpPr>
        <xdr:cNvPr id="860" name="Прямая соединительная линия 859"/>
        <xdr:cNvCxnSpPr/>
      </xdr:nvCxnSpPr>
      <xdr:spPr>
        <a:xfrm flipH="1">
          <a:off x="10890250" y="1652847"/>
          <a:ext cx="16998" cy="2990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517290</xdr:colOff>
      <xdr:row>8</xdr:row>
      <xdr:rowOff>158750</xdr:rowOff>
    </xdr:from>
    <xdr:to>
      <xdr:col>17</xdr:col>
      <xdr:colOff>527050</xdr:colOff>
      <xdr:row>8</xdr:row>
      <xdr:rowOff>185985</xdr:rowOff>
    </xdr:to>
    <xdr:cxnSp macro="">
      <xdr:nvCxnSpPr>
        <xdr:cNvPr id="861" name="Прямая соединительная линия 860"/>
        <xdr:cNvCxnSpPr/>
      </xdr:nvCxnSpPr>
      <xdr:spPr>
        <a:xfrm flipH="1">
          <a:off x="10880490" y="1682750"/>
          <a:ext cx="9760" cy="2723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514502</xdr:colOff>
      <xdr:row>8</xdr:row>
      <xdr:rowOff>185985</xdr:rowOff>
    </xdr:from>
    <xdr:to>
      <xdr:col>17</xdr:col>
      <xdr:colOff>517290</xdr:colOff>
      <xdr:row>9</xdr:row>
      <xdr:rowOff>20015</xdr:rowOff>
    </xdr:to>
    <xdr:cxnSp macro="">
      <xdr:nvCxnSpPr>
        <xdr:cNvPr id="862" name="Прямая соединительная линия 861"/>
        <xdr:cNvCxnSpPr/>
      </xdr:nvCxnSpPr>
      <xdr:spPr>
        <a:xfrm flipH="1">
          <a:off x="10877702" y="1709985"/>
          <a:ext cx="2788" cy="24530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514502</xdr:colOff>
      <xdr:row>9</xdr:row>
      <xdr:rowOff>20015</xdr:rowOff>
    </xdr:from>
    <xdr:to>
      <xdr:col>17</xdr:col>
      <xdr:colOff>518420</xdr:colOff>
      <xdr:row>9</xdr:row>
      <xdr:rowOff>41802</xdr:rowOff>
    </xdr:to>
    <xdr:cxnSp macro="">
      <xdr:nvCxnSpPr>
        <xdr:cNvPr id="863" name="Прямая соединительная линия 862"/>
        <xdr:cNvCxnSpPr/>
      </xdr:nvCxnSpPr>
      <xdr:spPr>
        <a:xfrm>
          <a:off x="10877702" y="1734515"/>
          <a:ext cx="3918" cy="2178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518420</xdr:colOff>
      <xdr:row>9</xdr:row>
      <xdr:rowOff>41802</xdr:rowOff>
    </xdr:from>
    <xdr:to>
      <xdr:col>17</xdr:col>
      <xdr:colOff>528777</xdr:colOff>
      <xdr:row>9</xdr:row>
      <xdr:rowOff>60807</xdr:rowOff>
    </xdr:to>
    <xdr:cxnSp macro="">
      <xdr:nvCxnSpPr>
        <xdr:cNvPr id="864" name="Прямая соединительная линия 863"/>
        <xdr:cNvCxnSpPr/>
      </xdr:nvCxnSpPr>
      <xdr:spPr>
        <a:xfrm>
          <a:off x="10881620" y="1756302"/>
          <a:ext cx="10357" cy="1900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528777</xdr:colOff>
      <xdr:row>9</xdr:row>
      <xdr:rowOff>60807</xdr:rowOff>
    </xdr:from>
    <xdr:to>
      <xdr:col>17</xdr:col>
      <xdr:colOff>545306</xdr:colOff>
      <xdr:row>9</xdr:row>
      <xdr:rowOff>76993</xdr:rowOff>
    </xdr:to>
    <xdr:cxnSp macro="">
      <xdr:nvCxnSpPr>
        <xdr:cNvPr id="865" name="Прямая соединительная линия 864"/>
        <xdr:cNvCxnSpPr/>
      </xdr:nvCxnSpPr>
      <xdr:spPr>
        <a:xfrm>
          <a:off x="10891977" y="1775307"/>
          <a:ext cx="16529" cy="1618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545306</xdr:colOff>
      <xdr:row>9</xdr:row>
      <xdr:rowOff>76993</xdr:rowOff>
    </xdr:from>
    <xdr:to>
      <xdr:col>17</xdr:col>
      <xdr:colOff>567740</xdr:colOff>
      <xdr:row>9</xdr:row>
      <xdr:rowOff>90322</xdr:rowOff>
    </xdr:to>
    <xdr:cxnSp macro="">
      <xdr:nvCxnSpPr>
        <xdr:cNvPr id="866" name="Прямая соединительная линия 865"/>
        <xdr:cNvCxnSpPr/>
      </xdr:nvCxnSpPr>
      <xdr:spPr>
        <a:xfrm>
          <a:off x="10908506" y="1791493"/>
          <a:ext cx="22434" cy="1332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567740</xdr:colOff>
      <xdr:row>9</xdr:row>
      <xdr:rowOff>90322</xdr:rowOff>
    </xdr:from>
    <xdr:to>
      <xdr:col>17</xdr:col>
      <xdr:colOff>595814</xdr:colOff>
      <xdr:row>9</xdr:row>
      <xdr:rowOff>100755</xdr:rowOff>
    </xdr:to>
    <xdr:cxnSp macro="">
      <xdr:nvCxnSpPr>
        <xdr:cNvPr id="867" name="Прямая соединительная линия 866"/>
        <xdr:cNvCxnSpPr/>
      </xdr:nvCxnSpPr>
      <xdr:spPr>
        <a:xfrm>
          <a:off x="10930940" y="1804822"/>
          <a:ext cx="28074" cy="1043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595814</xdr:colOff>
      <xdr:row>9</xdr:row>
      <xdr:rowOff>100755</xdr:rowOff>
    </xdr:from>
    <xdr:to>
      <xdr:col>18</xdr:col>
      <xdr:colOff>19659</xdr:colOff>
      <xdr:row>9</xdr:row>
      <xdr:rowOff>108254</xdr:rowOff>
    </xdr:to>
    <xdr:cxnSp macro="">
      <xdr:nvCxnSpPr>
        <xdr:cNvPr id="868" name="Прямая соединительная линия 867"/>
        <xdr:cNvCxnSpPr/>
      </xdr:nvCxnSpPr>
      <xdr:spPr>
        <a:xfrm>
          <a:off x="10959014" y="1815255"/>
          <a:ext cx="33445" cy="74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19659</xdr:colOff>
      <xdr:row>9</xdr:row>
      <xdr:rowOff>108254</xdr:rowOff>
    </xdr:from>
    <xdr:to>
      <xdr:col>18</xdr:col>
      <xdr:colOff>58210</xdr:colOff>
      <xdr:row>9</xdr:row>
      <xdr:rowOff>112782</xdr:rowOff>
    </xdr:to>
    <xdr:cxnSp macro="">
      <xdr:nvCxnSpPr>
        <xdr:cNvPr id="869" name="Прямая соединительная линия 868"/>
        <xdr:cNvCxnSpPr/>
      </xdr:nvCxnSpPr>
      <xdr:spPr>
        <a:xfrm>
          <a:off x="10992459" y="1822754"/>
          <a:ext cx="38551" cy="452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58210</xdr:colOff>
      <xdr:row>9</xdr:row>
      <xdr:rowOff>112782</xdr:rowOff>
    </xdr:from>
    <xdr:to>
      <xdr:col>18</xdr:col>
      <xdr:colOff>101600</xdr:colOff>
      <xdr:row>9</xdr:row>
      <xdr:rowOff>114300</xdr:rowOff>
    </xdr:to>
    <xdr:cxnSp macro="">
      <xdr:nvCxnSpPr>
        <xdr:cNvPr id="870" name="Прямая соединительная линия 869"/>
        <xdr:cNvCxnSpPr/>
      </xdr:nvCxnSpPr>
      <xdr:spPr>
        <a:xfrm>
          <a:off x="11031010" y="1827282"/>
          <a:ext cx="43390" cy="151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101600</xdr:colOff>
      <xdr:row>9</xdr:row>
      <xdr:rowOff>114300</xdr:rowOff>
    </xdr:from>
    <xdr:to>
      <xdr:col>18</xdr:col>
      <xdr:colOff>130536</xdr:colOff>
      <xdr:row>9</xdr:row>
      <xdr:rowOff>115436</xdr:rowOff>
    </xdr:to>
    <xdr:cxnSp macro="">
      <xdr:nvCxnSpPr>
        <xdr:cNvPr id="871" name="Прямая соединительная линия 870"/>
        <xdr:cNvCxnSpPr/>
      </xdr:nvCxnSpPr>
      <xdr:spPr>
        <a:xfrm>
          <a:off x="11074400" y="1828800"/>
          <a:ext cx="28936" cy="113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130536</xdr:colOff>
      <xdr:row>9</xdr:row>
      <xdr:rowOff>115436</xdr:rowOff>
    </xdr:from>
    <xdr:to>
      <xdr:col>18</xdr:col>
      <xdr:colOff>156311</xdr:colOff>
      <xdr:row>9</xdr:row>
      <xdr:rowOff>118821</xdr:rowOff>
    </xdr:to>
    <xdr:cxnSp macro="">
      <xdr:nvCxnSpPr>
        <xdr:cNvPr id="872" name="Прямая соединительная линия 871"/>
        <xdr:cNvCxnSpPr/>
      </xdr:nvCxnSpPr>
      <xdr:spPr>
        <a:xfrm>
          <a:off x="11103336" y="1829936"/>
          <a:ext cx="25775" cy="338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156311</xdr:colOff>
      <xdr:row>9</xdr:row>
      <xdr:rowOff>118821</xdr:rowOff>
    </xdr:from>
    <xdr:to>
      <xdr:col>18</xdr:col>
      <xdr:colOff>178810</xdr:colOff>
      <xdr:row>9</xdr:row>
      <xdr:rowOff>124415</xdr:rowOff>
    </xdr:to>
    <xdr:cxnSp macro="">
      <xdr:nvCxnSpPr>
        <xdr:cNvPr id="873" name="Прямая соединительная линия 872"/>
        <xdr:cNvCxnSpPr/>
      </xdr:nvCxnSpPr>
      <xdr:spPr>
        <a:xfrm>
          <a:off x="11129111" y="1833321"/>
          <a:ext cx="22499" cy="5594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178810</xdr:colOff>
      <xdr:row>9</xdr:row>
      <xdr:rowOff>124415</xdr:rowOff>
    </xdr:from>
    <xdr:to>
      <xdr:col>18</xdr:col>
      <xdr:colOff>197916</xdr:colOff>
      <xdr:row>9</xdr:row>
      <xdr:rowOff>132181</xdr:rowOff>
    </xdr:to>
    <xdr:cxnSp macro="">
      <xdr:nvCxnSpPr>
        <xdr:cNvPr id="874" name="Прямая соединительная линия 873"/>
        <xdr:cNvCxnSpPr/>
      </xdr:nvCxnSpPr>
      <xdr:spPr>
        <a:xfrm>
          <a:off x="11151610" y="1838915"/>
          <a:ext cx="19106" cy="776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197916</xdr:colOff>
      <xdr:row>9</xdr:row>
      <xdr:rowOff>132181</xdr:rowOff>
    </xdr:from>
    <xdr:to>
      <xdr:col>18</xdr:col>
      <xdr:colOff>213518</xdr:colOff>
      <xdr:row>9</xdr:row>
      <xdr:rowOff>142081</xdr:rowOff>
    </xdr:to>
    <xdr:cxnSp macro="">
      <xdr:nvCxnSpPr>
        <xdr:cNvPr id="875" name="Прямая соединительная линия 874"/>
        <xdr:cNvCxnSpPr/>
      </xdr:nvCxnSpPr>
      <xdr:spPr>
        <a:xfrm>
          <a:off x="11170716" y="1846681"/>
          <a:ext cx="15602" cy="990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213518</xdr:colOff>
      <xdr:row>9</xdr:row>
      <xdr:rowOff>142081</xdr:rowOff>
    </xdr:from>
    <xdr:to>
      <xdr:col>18</xdr:col>
      <xdr:colOff>225500</xdr:colOff>
      <xdr:row>9</xdr:row>
      <xdr:rowOff>154076</xdr:rowOff>
    </xdr:to>
    <xdr:cxnSp macro="">
      <xdr:nvCxnSpPr>
        <xdr:cNvPr id="876" name="Прямая соединительная линия 875"/>
        <xdr:cNvCxnSpPr/>
      </xdr:nvCxnSpPr>
      <xdr:spPr>
        <a:xfrm>
          <a:off x="11186318" y="1856581"/>
          <a:ext cx="11982" cy="1199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225500</xdr:colOff>
      <xdr:row>9</xdr:row>
      <xdr:rowOff>154076</xdr:rowOff>
    </xdr:from>
    <xdr:to>
      <xdr:col>18</xdr:col>
      <xdr:colOff>233750</xdr:colOff>
      <xdr:row>9</xdr:row>
      <xdr:rowOff>168128</xdr:rowOff>
    </xdr:to>
    <xdr:cxnSp macro="">
      <xdr:nvCxnSpPr>
        <xdr:cNvPr id="877" name="Прямая соединительная линия 876"/>
        <xdr:cNvCxnSpPr/>
      </xdr:nvCxnSpPr>
      <xdr:spPr>
        <a:xfrm>
          <a:off x="11198300" y="1868576"/>
          <a:ext cx="8250" cy="1405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233750</xdr:colOff>
      <xdr:row>9</xdr:row>
      <xdr:rowOff>168128</xdr:rowOff>
    </xdr:from>
    <xdr:to>
      <xdr:col>18</xdr:col>
      <xdr:colOff>238150</xdr:colOff>
      <xdr:row>9</xdr:row>
      <xdr:rowOff>184200</xdr:rowOff>
    </xdr:to>
    <xdr:cxnSp macro="">
      <xdr:nvCxnSpPr>
        <xdr:cNvPr id="878" name="Прямая соединительная линия 877"/>
        <xdr:cNvCxnSpPr/>
      </xdr:nvCxnSpPr>
      <xdr:spPr>
        <a:xfrm>
          <a:off x="11206550" y="1882628"/>
          <a:ext cx="4400" cy="1607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238150</xdr:colOff>
      <xdr:row>9</xdr:row>
      <xdr:rowOff>184200</xdr:rowOff>
    </xdr:from>
    <xdr:to>
      <xdr:col>18</xdr:col>
      <xdr:colOff>238588</xdr:colOff>
      <xdr:row>10</xdr:row>
      <xdr:rowOff>11753</xdr:rowOff>
    </xdr:to>
    <xdr:cxnSp macro="">
      <xdr:nvCxnSpPr>
        <xdr:cNvPr id="879" name="Прямая соединительная линия 878"/>
        <xdr:cNvCxnSpPr/>
      </xdr:nvCxnSpPr>
      <xdr:spPr>
        <a:xfrm>
          <a:off x="11210950" y="1898700"/>
          <a:ext cx="438" cy="18053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234950</xdr:colOff>
      <xdr:row>10</xdr:row>
      <xdr:rowOff>11753</xdr:rowOff>
    </xdr:from>
    <xdr:to>
      <xdr:col>18</xdr:col>
      <xdr:colOff>238588</xdr:colOff>
      <xdr:row>10</xdr:row>
      <xdr:rowOff>31750</xdr:rowOff>
    </xdr:to>
    <xdr:cxnSp macro="">
      <xdr:nvCxnSpPr>
        <xdr:cNvPr id="880" name="Прямая соединительная линия 879"/>
        <xdr:cNvCxnSpPr/>
      </xdr:nvCxnSpPr>
      <xdr:spPr>
        <a:xfrm flipH="1">
          <a:off x="11207750" y="1916753"/>
          <a:ext cx="3638" cy="19997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227120</xdr:colOff>
      <xdr:row>10</xdr:row>
      <xdr:rowOff>31750</xdr:rowOff>
    </xdr:from>
    <xdr:to>
      <xdr:col>18</xdr:col>
      <xdr:colOff>234950</xdr:colOff>
      <xdr:row>10</xdr:row>
      <xdr:rowOff>53651</xdr:rowOff>
    </xdr:to>
    <xdr:cxnSp macro="">
      <xdr:nvCxnSpPr>
        <xdr:cNvPr id="881" name="Прямая соединительная линия 880"/>
        <xdr:cNvCxnSpPr/>
      </xdr:nvCxnSpPr>
      <xdr:spPr>
        <a:xfrm flipH="1">
          <a:off x="11199920" y="1936750"/>
          <a:ext cx="7830" cy="2190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214985</xdr:colOff>
      <xdr:row>10</xdr:row>
      <xdr:rowOff>53651</xdr:rowOff>
    </xdr:from>
    <xdr:to>
      <xdr:col>18</xdr:col>
      <xdr:colOff>227120</xdr:colOff>
      <xdr:row>10</xdr:row>
      <xdr:rowOff>77419</xdr:rowOff>
    </xdr:to>
    <xdr:cxnSp macro="">
      <xdr:nvCxnSpPr>
        <xdr:cNvPr id="882" name="Прямая соединительная линия 881"/>
        <xdr:cNvCxnSpPr/>
      </xdr:nvCxnSpPr>
      <xdr:spPr>
        <a:xfrm flipH="1">
          <a:off x="11187785" y="1958651"/>
          <a:ext cx="12135" cy="2376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198431</xdr:colOff>
      <xdr:row>10</xdr:row>
      <xdr:rowOff>77419</xdr:rowOff>
    </xdr:from>
    <xdr:to>
      <xdr:col>18</xdr:col>
      <xdr:colOff>214985</xdr:colOff>
      <xdr:row>10</xdr:row>
      <xdr:rowOff>103015</xdr:rowOff>
    </xdr:to>
    <xdr:cxnSp macro="">
      <xdr:nvCxnSpPr>
        <xdr:cNvPr id="883" name="Прямая соединительная линия 882"/>
        <xdr:cNvCxnSpPr/>
      </xdr:nvCxnSpPr>
      <xdr:spPr>
        <a:xfrm flipH="1">
          <a:off x="11171231" y="1982419"/>
          <a:ext cx="16554" cy="2559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177342</xdr:colOff>
      <xdr:row>10</xdr:row>
      <xdr:rowOff>103015</xdr:rowOff>
    </xdr:from>
    <xdr:to>
      <xdr:col>18</xdr:col>
      <xdr:colOff>198431</xdr:colOff>
      <xdr:row>10</xdr:row>
      <xdr:rowOff>130403</xdr:rowOff>
    </xdr:to>
    <xdr:cxnSp macro="">
      <xdr:nvCxnSpPr>
        <xdr:cNvPr id="884" name="Прямая соединительная линия 883"/>
        <xdr:cNvCxnSpPr/>
      </xdr:nvCxnSpPr>
      <xdr:spPr>
        <a:xfrm flipH="1">
          <a:off x="11150142" y="2008015"/>
          <a:ext cx="21089" cy="2738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151606</xdr:colOff>
      <xdr:row>10</xdr:row>
      <xdr:rowOff>130403</xdr:rowOff>
    </xdr:from>
    <xdr:to>
      <xdr:col>18</xdr:col>
      <xdr:colOff>177342</xdr:colOff>
      <xdr:row>10</xdr:row>
      <xdr:rowOff>159543</xdr:rowOff>
    </xdr:to>
    <xdr:cxnSp macro="">
      <xdr:nvCxnSpPr>
        <xdr:cNvPr id="885" name="Прямая соединительная линия 884"/>
        <xdr:cNvCxnSpPr/>
      </xdr:nvCxnSpPr>
      <xdr:spPr>
        <a:xfrm flipH="1">
          <a:off x="11124406" y="2035403"/>
          <a:ext cx="25736" cy="2914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121107</xdr:colOff>
      <xdr:row>10</xdr:row>
      <xdr:rowOff>159543</xdr:rowOff>
    </xdr:from>
    <xdr:to>
      <xdr:col>18</xdr:col>
      <xdr:colOff>151606</xdr:colOff>
      <xdr:row>10</xdr:row>
      <xdr:rowOff>190398</xdr:rowOff>
    </xdr:to>
    <xdr:cxnSp macro="">
      <xdr:nvCxnSpPr>
        <xdr:cNvPr id="886" name="Прямая соединительная линия 885"/>
        <xdr:cNvCxnSpPr/>
      </xdr:nvCxnSpPr>
      <xdr:spPr>
        <a:xfrm flipH="1">
          <a:off x="11093907" y="2064543"/>
          <a:ext cx="30499" cy="3085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85731</xdr:colOff>
      <xdr:row>10</xdr:row>
      <xdr:rowOff>190398</xdr:rowOff>
    </xdr:from>
    <xdr:to>
      <xdr:col>18</xdr:col>
      <xdr:colOff>121107</xdr:colOff>
      <xdr:row>11</xdr:row>
      <xdr:rowOff>32429</xdr:rowOff>
    </xdr:to>
    <xdr:cxnSp macro="">
      <xdr:nvCxnSpPr>
        <xdr:cNvPr id="887" name="Прямая соединительная линия 886"/>
        <xdr:cNvCxnSpPr/>
      </xdr:nvCxnSpPr>
      <xdr:spPr>
        <a:xfrm flipH="1">
          <a:off x="11058531" y="2095398"/>
          <a:ext cx="35376" cy="3253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45364</xdr:colOff>
      <xdr:row>11</xdr:row>
      <xdr:rowOff>32429</xdr:rowOff>
    </xdr:from>
    <xdr:to>
      <xdr:col>18</xdr:col>
      <xdr:colOff>85731</xdr:colOff>
      <xdr:row>11</xdr:row>
      <xdr:rowOff>66598</xdr:rowOff>
    </xdr:to>
    <xdr:cxnSp macro="">
      <xdr:nvCxnSpPr>
        <xdr:cNvPr id="888" name="Прямая соединительная линия 887"/>
        <xdr:cNvCxnSpPr/>
      </xdr:nvCxnSpPr>
      <xdr:spPr>
        <a:xfrm flipH="1">
          <a:off x="11018164" y="2127929"/>
          <a:ext cx="40367" cy="3416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609492</xdr:colOff>
      <xdr:row>11</xdr:row>
      <xdr:rowOff>66598</xdr:rowOff>
    </xdr:from>
    <xdr:to>
      <xdr:col>18</xdr:col>
      <xdr:colOff>45364</xdr:colOff>
      <xdr:row>11</xdr:row>
      <xdr:rowOff>102368</xdr:rowOff>
    </xdr:to>
    <xdr:cxnSp macro="">
      <xdr:nvCxnSpPr>
        <xdr:cNvPr id="889" name="Прямая соединительная линия 888"/>
        <xdr:cNvCxnSpPr/>
      </xdr:nvCxnSpPr>
      <xdr:spPr>
        <a:xfrm flipH="1">
          <a:off x="10972692" y="2162098"/>
          <a:ext cx="45472" cy="3577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558800</xdr:colOff>
      <xdr:row>11</xdr:row>
      <xdr:rowOff>102368</xdr:rowOff>
    </xdr:from>
    <xdr:to>
      <xdr:col>17</xdr:col>
      <xdr:colOff>609492</xdr:colOff>
      <xdr:row>11</xdr:row>
      <xdr:rowOff>139700</xdr:rowOff>
    </xdr:to>
    <xdr:cxnSp macro="">
      <xdr:nvCxnSpPr>
        <xdr:cNvPr id="890" name="Прямая соединительная линия 889"/>
        <xdr:cNvCxnSpPr/>
      </xdr:nvCxnSpPr>
      <xdr:spPr>
        <a:xfrm flipH="1">
          <a:off x="10922000" y="2197868"/>
          <a:ext cx="50692" cy="373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507351</xdr:colOff>
      <xdr:row>11</xdr:row>
      <xdr:rowOff>139700</xdr:rowOff>
    </xdr:from>
    <xdr:to>
      <xdr:col>17</xdr:col>
      <xdr:colOff>558800</xdr:colOff>
      <xdr:row>11</xdr:row>
      <xdr:rowOff>175539</xdr:rowOff>
    </xdr:to>
    <xdr:cxnSp macro="">
      <xdr:nvCxnSpPr>
        <xdr:cNvPr id="891" name="Прямая соединительная линия 890"/>
        <xdr:cNvCxnSpPr/>
      </xdr:nvCxnSpPr>
      <xdr:spPr>
        <a:xfrm flipH="1">
          <a:off x="10870551" y="2235200"/>
          <a:ext cx="51449" cy="3583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459638</xdr:colOff>
      <xdr:row>11</xdr:row>
      <xdr:rowOff>175539</xdr:rowOff>
    </xdr:from>
    <xdr:to>
      <xdr:col>17</xdr:col>
      <xdr:colOff>507351</xdr:colOff>
      <xdr:row>12</xdr:row>
      <xdr:rowOff>16459</xdr:rowOff>
    </xdr:to>
    <xdr:cxnSp macro="">
      <xdr:nvCxnSpPr>
        <xdr:cNvPr id="892" name="Прямая соединительная линия 891"/>
        <xdr:cNvCxnSpPr/>
      </xdr:nvCxnSpPr>
      <xdr:spPr>
        <a:xfrm flipH="1">
          <a:off x="10822838" y="2271039"/>
          <a:ext cx="47713" cy="3142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415582</xdr:colOff>
      <xdr:row>12</xdr:row>
      <xdr:rowOff>16459</xdr:rowOff>
    </xdr:from>
    <xdr:to>
      <xdr:col>17</xdr:col>
      <xdr:colOff>459638</xdr:colOff>
      <xdr:row>12</xdr:row>
      <xdr:rowOff>43611</xdr:rowOff>
    </xdr:to>
    <xdr:cxnSp macro="">
      <xdr:nvCxnSpPr>
        <xdr:cNvPr id="893" name="Прямая соединительная линия 892"/>
        <xdr:cNvCxnSpPr/>
      </xdr:nvCxnSpPr>
      <xdr:spPr>
        <a:xfrm flipH="1">
          <a:off x="10778782" y="2302459"/>
          <a:ext cx="44056" cy="2715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375107</xdr:colOff>
      <xdr:row>12</xdr:row>
      <xdr:rowOff>43611</xdr:rowOff>
    </xdr:from>
    <xdr:to>
      <xdr:col>17</xdr:col>
      <xdr:colOff>415582</xdr:colOff>
      <xdr:row>12</xdr:row>
      <xdr:rowOff>66649</xdr:rowOff>
    </xdr:to>
    <xdr:cxnSp macro="">
      <xdr:nvCxnSpPr>
        <xdr:cNvPr id="894" name="Прямая соединительная линия 893"/>
        <xdr:cNvCxnSpPr/>
      </xdr:nvCxnSpPr>
      <xdr:spPr>
        <a:xfrm flipH="1">
          <a:off x="10738307" y="2329611"/>
          <a:ext cx="40475" cy="2303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338137</xdr:colOff>
      <xdr:row>12</xdr:row>
      <xdr:rowOff>66649</xdr:rowOff>
    </xdr:from>
    <xdr:to>
      <xdr:col>17</xdr:col>
      <xdr:colOff>375107</xdr:colOff>
      <xdr:row>12</xdr:row>
      <xdr:rowOff>85725</xdr:rowOff>
    </xdr:to>
    <xdr:cxnSp macro="">
      <xdr:nvCxnSpPr>
        <xdr:cNvPr id="895" name="Прямая соединительная линия 894"/>
        <xdr:cNvCxnSpPr/>
      </xdr:nvCxnSpPr>
      <xdr:spPr>
        <a:xfrm flipH="1">
          <a:off x="10701337" y="2352649"/>
          <a:ext cx="36970" cy="1907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304596</xdr:colOff>
      <xdr:row>12</xdr:row>
      <xdr:rowOff>85725</xdr:rowOff>
    </xdr:from>
    <xdr:to>
      <xdr:col>17</xdr:col>
      <xdr:colOff>338137</xdr:colOff>
      <xdr:row>12</xdr:row>
      <xdr:rowOff>100990</xdr:rowOff>
    </xdr:to>
    <xdr:cxnSp macro="">
      <xdr:nvCxnSpPr>
        <xdr:cNvPr id="896" name="Прямая соединительная линия 895"/>
        <xdr:cNvCxnSpPr/>
      </xdr:nvCxnSpPr>
      <xdr:spPr>
        <a:xfrm flipH="1">
          <a:off x="10667796" y="2371725"/>
          <a:ext cx="33541" cy="1526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274408</xdr:colOff>
      <xdr:row>12</xdr:row>
      <xdr:rowOff>100990</xdr:rowOff>
    </xdr:from>
    <xdr:to>
      <xdr:col>17</xdr:col>
      <xdr:colOff>304596</xdr:colOff>
      <xdr:row>12</xdr:row>
      <xdr:rowOff>112598</xdr:rowOff>
    </xdr:to>
    <xdr:cxnSp macro="">
      <xdr:nvCxnSpPr>
        <xdr:cNvPr id="897" name="Прямая соединительная линия 896"/>
        <xdr:cNvCxnSpPr/>
      </xdr:nvCxnSpPr>
      <xdr:spPr>
        <a:xfrm flipH="1">
          <a:off x="10637608" y="2386990"/>
          <a:ext cx="30188" cy="1160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247497</xdr:colOff>
      <xdr:row>12</xdr:row>
      <xdr:rowOff>112598</xdr:rowOff>
    </xdr:from>
    <xdr:to>
      <xdr:col>17</xdr:col>
      <xdr:colOff>274408</xdr:colOff>
      <xdr:row>12</xdr:row>
      <xdr:rowOff>120700</xdr:rowOff>
    </xdr:to>
    <xdr:cxnSp macro="">
      <xdr:nvCxnSpPr>
        <xdr:cNvPr id="898" name="Прямая соединительная линия 897"/>
        <xdr:cNvCxnSpPr/>
      </xdr:nvCxnSpPr>
      <xdr:spPr>
        <a:xfrm flipH="1">
          <a:off x="10610697" y="2398598"/>
          <a:ext cx="26911" cy="810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223786</xdr:colOff>
      <xdr:row>12</xdr:row>
      <xdr:rowOff>120700</xdr:rowOff>
    </xdr:from>
    <xdr:to>
      <xdr:col>17</xdr:col>
      <xdr:colOff>247497</xdr:colOff>
      <xdr:row>12</xdr:row>
      <xdr:rowOff>125450</xdr:rowOff>
    </xdr:to>
    <xdr:cxnSp macro="">
      <xdr:nvCxnSpPr>
        <xdr:cNvPr id="899" name="Прямая соединительная линия 898"/>
        <xdr:cNvCxnSpPr/>
      </xdr:nvCxnSpPr>
      <xdr:spPr>
        <a:xfrm flipH="1">
          <a:off x="10586986" y="2406700"/>
          <a:ext cx="23711" cy="475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203200</xdr:colOff>
      <xdr:row>12</xdr:row>
      <xdr:rowOff>125450</xdr:rowOff>
    </xdr:from>
    <xdr:to>
      <xdr:col>17</xdr:col>
      <xdr:colOff>223786</xdr:colOff>
      <xdr:row>12</xdr:row>
      <xdr:rowOff>127000</xdr:rowOff>
    </xdr:to>
    <xdr:cxnSp macro="">
      <xdr:nvCxnSpPr>
        <xdr:cNvPr id="900" name="Прямая соединительная линия 899"/>
        <xdr:cNvCxnSpPr/>
      </xdr:nvCxnSpPr>
      <xdr:spPr>
        <a:xfrm flipH="1">
          <a:off x="10566400" y="2411450"/>
          <a:ext cx="20586" cy="155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185661</xdr:colOff>
      <xdr:row>12</xdr:row>
      <xdr:rowOff>125501</xdr:rowOff>
    </xdr:from>
    <xdr:to>
      <xdr:col>17</xdr:col>
      <xdr:colOff>203200</xdr:colOff>
      <xdr:row>12</xdr:row>
      <xdr:rowOff>127000</xdr:rowOff>
    </xdr:to>
    <xdr:cxnSp macro="">
      <xdr:nvCxnSpPr>
        <xdr:cNvPr id="901" name="Прямая соединительная линия 900"/>
        <xdr:cNvCxnSpPr/>
      </xdr:nvCxnSpPr>
      <xdr:spPr>
        <a:xfrm flipH="1" flipV="1">
          <a:off x="10548861" y="2411501"/>
          <a:ext cx="17539" cy="149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171094</xdr:colOff>
      <xdr:row>12</xdr:row>
      <xdr:rowOff>121107</xdr:rowOff>
    </xdr:from>
    <xdr:to>
      <xdr:col>17</xdr:col>
      <xdr:colOff>185661</xdr:colOff>
      <xdr:row>12</xdr:row>
      <xdr:rowOff>125501</xdr:rowOff>
    </xdr:to>
    <xdr:cxnSp macro="">
      <xdr:nvCxnSpPr>
        <xdr:cNvPr id="902" name="Прямая соединительная линия 901"/>
        <xdr:cNvCxnSpPr/>
      </xdr:nvCxnSpPr>
      <xdr:spPr>
        <a:xfrm flipH="1" flipV="1">
          <a:off x="10534294" y="2407107"/>
          <a:ext cx="14567" cy="439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159422</xdr:colOff>
      <xdr:row>12</xdr:row>
      <xdr:rowOff>113969</xdr:rowOff>
    </xdr:from>
    <xdr:to>
      <xdr:col>17</xdr:col>
      <xdr:colOff>171094</xdr:colOff>
      <xdr:row>12</xdr:row>
      <xdr:rowOff>121107</xdr:rowOff>
    </xdr:to>
    <xdr:cxnSp macro="">
      <xdr:nvCxnSpPr>
        <xdr:cNvPr id="903" name="Прямая соединительная линия 902"/>
        <xdr:cNvCxnSpPr/>
      </xdr:nvCxnSpPr>
      <xdr:spPr>
        <a:xfrm flipH="1" flipV="1">
          <a:off x="10522622" y="2399969"/>
          <a:ext cx="11672" cy="713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150571</xdr:colOff>
      <xdr:row>12</xdr:row>
      <xdr:rowOff>104241</xdr:rowOff>
    </xdr:from>
    <xdr:to>
      <xdr:col>17</xdr:col>
      <xdr:colOff>159422</xdr:colOff>
      <xdr:row>12</xdr:row>
      <xdr:rowOff>113969</xdr:rowOff>
    </xdr:to>
    <xdr:cxnSp macro="">
      <xdr:nvCxnSpPr>
        <xdr:cNvPr id="904" name="Прямая соединительная линия 903"/>
        <xdr:cNvCxnSpPr/>
      </xdr:nvCxnSpPr>
      <xdr:spPr>
        <a:xfrm flipH="1" flipV="1">
          <a:off x="10513771" y="2390241"/>
          <a:ext cx="8851" cy="972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144462</xdr:colOff>
      <xdr:row>12</xdr:row>
      <xdr:rowOff>92075</xdr:rowOff>
    </xdr:from>
    <xdr:to>
      <xdr:col>17</xdr:col>
      <xdr:colOff>150571</xdr:colOff>
      <xdr:row>12</xdr:row>
      <xdr:rowOff>104241</xdr:rowOff>
    </xdr:to>
    <xdr:cxnSp macro="">
      <xdr:nvCxnSpPr>
        <xdr:cNvPr id="905" name="Прямая соединительная линия 904"/>
        <xdr:cNvCxnSpPr/>
      </xdr:nvCxnSpPr>
      <xdr:spPr>
        <a:xfrm flipH="1" flipV="1">
          <a:off x="10507662" y="2378075"/>
          <a:ext cx="6109" cy="1216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141020</xdr:colOff>
      <xdr:row>12</xdr:row>
      <xdr:rowOff>77622</xdr:rowOff>
    </xdr:from>
    <xdr:to>
      <xdr:col>17</xdr:col>
      <xdr:colOff>144462</xdr:colOff>
      <xdr:row>12</xdr:row>
      <xdr:rowOff>92075</xdr:rowOff>
    </xdr:to>
    <xdr:cxnSp macro="">
      <xdr:nvCxnSpPr>
        <xdr:cNvPr id="906" name="Прямая соединительная линия 905"/>
        <xdr:cNvCxnSpPr/>
      </xdr:nvCxnSpPr>
      <xdr:spPr>
        <a:xfrm flipH="1" flipV="1">
          <a:off x="10504220" y="2363622"/>
          <a:ext cx="3442" cy="144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140169</xdr:colOff>
      <xdr:row>12</xdr:row>
      <xdr:rowOff>61036</xdr:rowOff>
    </xdr:from>
    <xdr:to>
      <xdr:col>17</xdr:col>
      <xdr:colOff>141020</xdr:colOff>
      <xdr:row>12</xdr:row>
      <xdr:rowOff>77622</xdr:rowOff>
    </xdr:to>
    <xdr:cxnSp macro="">
      <xdr:nvCxnSpPr>
        <xdr:cNvPr id="907" name="Прямая соединительная линия 906"/>
        <xdr:cNvCxnSpPr/>
      </xdr:nvCxnSpPr>
      <xdr:spPr>
        <a:xfrm flipH="1" flipV="1">
          <a:off x="10503369" y="2347036"/>
          <a:ext cx="851" cy="1658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140169</xdr:colOff>
      <xdr:row>12</xdr:row>
      <xdr:rowOff>42468</xdr:rowOff>
    </xdr:from>
    <xdr:to>
      <xdr:col>17</xdr:col>
      <xdr:colOff>141833</xdr:colOff>
      <xdr:row>12</xdr:row>
      <xdr:rowOff>61036</xdr:rowOff>
    </xdr:to>
    <xdr:cxnSp macro="">
      <xdr:nvCxnSpPr>
        <xdr:cNvPr id="908" name="Прямая соединительная линия 907"/>
        <xdr:cNvCxnSpPr/>
      </xdr:nvCxnSpPr>
      <xdr:spPr>
        <a:xfrm flipV="1">
          <a:off x="10503369" y="2328468"/>
          <a:ext cx="1664" cy="1856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141833</xdr:colOff>
      <xdr:row>12</xdr:row>
      <xdr:rowOff>22072</xdr:rowOff>
    </xdr:from>
    <xdr:to>
      <xdr:col>17</xdr:col>
      <xdr:colOff>145936</xdr:colOff>
      <xdr:row>12</xdr:row>
      <xdr:rowOff>42468</xdr:rowOff>
    </xdr:to>
    <xdr:cxnSp macro="">
      <xdr:nvCxnSpPr>
        <xdr:cNvPr id="909" name="Прямая соединительная линия 908"/>
        <xdr:cNvCxnSpPr/>
      </xdr:nvCxnSpPr>
      <xdr:spPr>
        <a:xfrm flipV="1">
          <a:off x="10505033" y="2308072"/>
          <a:ext cx="4103" cy="2039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145936</xdr:colOff>
      <xdr:row>12</xdr:row>
      <xdr:rowOff>0</xdr:rowOff>
    </xdr:from>
    <xdr:to>
      <xdr:col>17</xdr:col>
      <xdr:colOff>152400</xdr:colOff>
      <xdr:row>12</xdr:row>
      <xdr:rowOff>22072</xdr:rowOff>
    </xdr:to>
    <xdr:cxnSp macro="">
      <xdr:nvCxnSpPr>
        <xdr:cNvPr id="910" name="Прямая соединительная линия 909"/>
        <xdr:cNvCxnSpPr/>
      </xdr:nvCxnSpPr>
      <xdr:spPr>
        <a:xfrm flipV="1">
          <a:off x="10509136" y="2286000"/>
          <a:ext cx="6464" cy="220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152400</xdr:colOff>
      <xdr:row>11</xdr:row>
      <xdr:rowOff>155422</xdr:rowOff>
    </xdr:from>
    <xdr:to>
      <xdr:col>17</xdr:col>
      <xdr:colOff>157060</xdr:colOff>
      <xdr:row>12</xdr:row>
      <xdr:rowOff>0</xdr:rowOff>
    </xdr:to>
    <xdr:cxnSp macro="">
      <xdr:nvCxnSpPr>
        <xdr:cNvPr id="911" name="Прямая соединительная линия 910"/>
        <xdr:cNvCxnSpPr/>
      </xdr:nvCxnSpPr>
      <xdr:spPr>
        <a:xfrm flipV="1">
          <a:off x="10515600" y="2250922"/>
          <a:ext cx="4660" cy="3507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156159</xdr:colOff>
      <xdr:row>11</xdr:row>
      <xdr:rowOff>126288</xdr:rowOff>
    </xdr:from>
    <xdr:to>
      <xdr:col>17</xdr:col>
      <xdr:colOff>157060</xdr:colOff>
      <xdr:row>11</xdr:row>
      <xdr:rowOff>155422</xdr:rowOff>
    </xdr:to>
    <xdr:cxnSp macro="">
      <xdr:nvCxnSpPr>
        <xdr:cNvPr id="912" name="Прямая соединительная линия 911"/>
        <xdr:cNvCxnSpPr/>
      </xdr:nvCxnSpPr>
      <xdr:spPr>
        <a:xfrm flipH="1" flipV="1">
          <a:off x="10519359" y="2221788"/>
          <a:ext cx="901" cy="2913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150228</xdr:colOff>
      <xdr:row>11</xdr:row>
      <xdr:rowOff>102946</xdr:rowOff>
    </xdr:from>
    <xdr:to>
      <xdr:col>17</xdr:col>
      <xdr:colOff>156159</xdr:colOff>
      <xdr:row>11</xdr:row>
      <xdr:rowOff>126288</xdr:rowOff>
    </xdr:to>
    <xdr:cxnSp macro="">
      <xdr:nvCxnSpPr>
        <xdr:cNvPr id="913" name="Прямая соединительная линия 912"/>
        <xdr:cNvCxnSpPr/>
      </xdr:nvCxnSpPr>
      <xdr:spPr>
        <a:xfrm flipH="1" flipV="1">
          <a:off x="10513428" y="2198446"/>
          <a:ext cx="5931" cy="2334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139801</xdr:colOff>
      <xdr:row>11</xdr:row>
      <xdr:rowOff>85242</xdr:rowOff>
    </xdr:from>
    <xdr:to>
      <xdr:col>17</xdr:col>
      <xdr:colOff>150228</xdr:colOff>
      <xdr:row>11</xdr:row>
      <xdr:rowOff>102946</xdr:rowOff>
    </xdr:to>
    <xdr:cxnSp macro="">
      <xdr:nvCxnSpPr>
        <xdr:cNvPr id="914" name="Прямая соединительная линия 913"/>
        <xdr:cNvCxnSpPr/>
      </xdr:nvCxnSpPr>
      <xdr:spPr>
        <a:xfrm flipH="1" flipV="1">
          <a:off x="10503001" y="2180742"/>
          <a:ext cx="10427" cy="1770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125412</xdr:colOff>
      <xdr:row>11</xdr:row>
      <xdr:rowOff>73025</xdr:rowOff>
    </xdr:from>
    <xdr:to>
      <xdr:col>17</xdr:col>
      <xdr:colOff>139801</xdr:colOff>
      <xdr:row>11</xdr:row>
      <xdr:rowOff>85242</xdr:rowOff>
    </xdr:to>
    <xdr:cxnSp macro="">
      <xdr:nvCxnSpPr>
        <xdr:cNvPr id="915" name="Прямая соединительная линия 914"/>
        <xdr:cNvCxnSpPr/>
      </xdr:nvCxnSpPr>
      <xdr:spPr>
        <a:xfrm flipH="1" flipV="1">
          <a:off x="10488612" y="2168525"/>
          <a:ext cx="14389" cy="12217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107594</xdr:colOff>
      <xdr:row>11</xdr:row>
      <xdr:rowOff>66141</xdr:rowOff>
    </xdr:from>
    <xdr:to>
      <xdr:col>17</xdr:col>
      <xdr:colOff>125412</xdr:colOff>
      <xdr:row>11</xdr:row>
      <xdr:rowOff>73025</xdr:rowOff>
    </xdr:to>
    <xdr:cxnSp macro="">
      <xdr:nvCxnSpPr>
        <xdr:cNvPr id="916" name="Прямая соединительная линия 915"/>
        <xdr:cNvCxnSpPr/>
      </xdr:nvCxnSpPr>
      <xdr:spPr>
        <a:xfrm flipH="1" flipV="1">
          <a:off x="10470794" y="2161641"/>
          <a:ext cx="17818" cy="68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86880</xdr:colOff>
      <xdr:row>11</xdr:row>
      <xdr:rowOff>64439</xdr:rowOff>
    </xdr:from>
    <xdr:to>
      <xdr:col>17</xdr:col>
      <xdr:colOff>107594</xdr:colOff>
      <xdr:row>11</xdr:row>
      <xdr:rowOff>66141</xdr:rowOff>
    </xdr:to>
    <xdr:cxnSp macro="">
      <xdr:nvCxnSpPr>
        <xdr:cNvPr id="917" name="Прямая соединительная линия 916"/>
        <xdr:cNvCxnSpPr/>
      </xdr:nvCxnSpPr>
      <xdr:spPr>
        <a:xfrm flipH="1" flipV="1">
          <a:off x="10450080" y="2159939"/>
          <a:ext cx="20714" cy="170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63804</xdr:colOff>
      <xdr:row>11</xdr:row>
      <xdr:rowOff>64439</xdr:rowOff>
    </xdr:from>
    <xdr:to>
      <xdr:col>17</xdr:col>
      <xdr:colOff>86880</xdr:colOff>
      <xdr:row>11</xdr:row>
      <xdr:rowOff>67767</xdr:rowOff>
    </xdr:to>
    <xdr:cxnSp macro="">
      <xdr:nvCxnSpPr>
        <xdr:cNvPr id="918" name="Прямая соединительная линия 917"/>
        <xdr:cNvCxnSpPr/>
      </xdr:nvCxnSpPr>
      <xdr:spPr>
        <a:xfrm flipH="1">
          <a:off x="10427004" y="2159939"/>
          <a:ext cx="23076" cy="332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38899</xdr:colOff>
      <xdr:row>11</xdr:row>
      <xdr:rowOff>67767</xdr:rowOff>
    </xdr:from>
    <xdr:to>
      <xdr:col>17</xdr:col>
      <xdr:colOff>63804</xdr:colOff>
      <xdr:row>11</xdr:row>
      <xdr:rowOff>75971</xdr:rowOff>
    </xdr:to>
    <xdr:cxnSp macro="">
      <xdr:nvCxnSpPr>
        <xdr:cNvPr id="919" name="Прямая соединительная линия 918"/>
        <xdr:cNvCxnSpPr/>
      </xdr:nvCxnSpPr>
      <xdr:spPr>
        <a:xfrm flipH="1">
          <a:off x="10402099" y="2163267"/>
          <a:ext cx="24905" cy="820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</xdr:colOff>
      <xdr:row>11</xdr:row>
      <xdr:rowOff>75971</xdr:rowOff>
    </xdr:from>
    <xdr:to>
      <xdr:col>17</xdr:col>
      <xdr:colOff>38899</xdr:colOff>
      <xdr:row>11</xdr:row>
      <xdr:rowOff>88900</xdr:rowOff>
    </xdr:to>
    <xdr:cxnSp macro="">
      <xdr:nvCxnSpPr>
        <xdr:cNvPr id="920" name="Прямая соединительная линия 919"/>
        <xdr:cNvCxnSpPr/>
      </xdr:nvCxnSpPr>
      <xdr:spPr>
        <a:xfrm flipH="1">
          <a:off x="10375900" y="2171471"/>
          <a:ext cx="26199" cy="1292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595338</xdr:colOff>
      <xdr:row>11</xdr:row>
      <xdr:rowOff>88900</xdr:rowOff>
    </xdr:from>
    <xdr:to>
      <xdr:col>17</xdr:col>
      <xdr:colOff>12700</xdr:colOff>
      <xdr:row>11</xdr:row>
      <xdr:rowOff>106400</xdr:rowOff>
    </xdr:to>
    <xdr:cxnSp macro="">
      <xdr:nvCxnSpPr>
        <xdr:cNvPr id="921" name="Прямая соединительная линия 920"/>
        <xdr:cNvCxnSpPr/>
      </xdr:nvCxnSpPr>
      <xdr:spPr>
        <a:xfrm flipH="1">
          <a:off x="10348938" y="2184400"/>
          <a:ext cx="26962" cy="1750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568147</xdr:colOff>
      <xdr:row>11</xdr:row>
      <xdr:rowOff>106400</xdr:rowOff>
    </xdr:from>
    <xdr:to>
      <xdr:col>16</xdr:col>
      <xdr:colOff>595338</xdr:colOff>
      <xdr:row>11</xdr:row>
      <xdr:rowOff>128320</xdr:rowOff>
    </xdr:to>
    <xdr:cxnSp macro="">
      <xdr:nvCxnSpPr>
        <xdr:cNvPr id="922" name="Прямая соединительная линия 921"/>
        <xdr:cNvCxnSpPr/>
      </xdr:nvCxnSpPr>
      <xdr:spPr>
        <a:xfrm flipH="1">
          <a:off x="10321747" y="2201900"/>
          <a:ext cx="27191" cy="2192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541261</xdr:colOff>
      <xdr:row>11</xdr:row>
      <xdr:rowOff>128320</xdr:rowOff>
    </xdr:from>
    <xdr:to>
      <xdr:col>16</xdr:col>
      <xdr:colOff>568147</xdr:colOff>
      <xdr:row>11</xdr:row>
      <xdr:rowOff>154508</xdr:rowOff>
    </xdr:to>
    <xdr:cxnSp macro="">
      <xdr:nvCxnSpPr>
        <xdr:cNvPr id="923" name="Прямая соединительная линия 922"/>
        <xdr:cNvCxnSpPr/>
      </xdr:nvCxnSpPr>
      <xdr:spPr>
        <a:xfrm flipH="1">
          <a:off x="10294861" y="2223820"/>
          <a:ext cx="26886" cy="2618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515213</xdr:colOff>
      <xdr:row>11</xdr:row>
      <xdr:rowOff>154508</xdr:rowOff>
    </xdr:from>
    <xdr:to>
      <xdr:col>16</xdr:col>
      <xdr:colOff>541261</xdr:colOff>
      <xdr:row>11</xdr:row>
      <xdr:rowOff>184810</xdr:rowOff>
    </xdr:to>
    <xdr:cxnSp macro="">
      <xdr:nvCxnSpPr>
        <xdr:cNvPr id="924" name="Прямая соединительная линия 923"/>
        <xdr:cNvCxnSpPr/>
      </xdr:nvCxnSpPr>
      <xdr:spPr>
        <a:xfrm flipH="1">
          <a:off x="10268813" y="2250008"/>
          <a:ext cx="26048" cy="3030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490537</xdr:colOff>
      <xdr:row>11</xdr:row>
      <xdr:rowOff>184810</xdr:rowOff>
    </xdr:from>
    <xdr:to>
      <xdr:col>16</xdr:col>
      <xdr:colOff>515213</xdr:colOff>
      <xdr:row>12</xdr:row>
      <xdr:rowOff>28575</xdr:rowOff>
    </xdr:to>
    <xdr:cxnSp macro="">
      <xdr:nvCxnSpPr>
        <xdr:cNvPr id="925" name="Прямая соединительная линия 924"/>
        <xdr:cNvCxnSpPr/>
      </xdr:nvCxnSpPr>
      <xdr:spPr>
        <a:xfrm flipH="1">
          <a:off x="10244137" y="2280310"/>
          <a:ext cx="24676" cy="3426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467766</xdr:colOff>
      <xdr:row>12</xdr:row>
      <xdr:rowOff>28575</xdr:rowOff>
    </xdr:from>
    <xdr:to>
      <xdr:col>16</xdr:col>
      <xdr:colOff>490537</xdr:colOff>
      <xdr:row>12</xdr:row>
      <xdr:rowOff>66649</xdr:rowOff>
    </xdr:to>
    <xdr:cxnSp macro="">
      <xdr:nvCxnSpPr>
        <xdr:cNvPr id="926" name="Прямая соединительная линия 925"/>
        <xdr:cNvCxnSpPr/>
      </xdr:nvCxnSpPr>
      <xdr:spPr>
        <a:xfrm flipH="1">
          <a:off x="10221366" y="2314575"/>
          <a:ext cx="22771" cy="3807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447433</xdr:colOff>
      <xdr:row>12</xdr:row>
      <xdr:rowOff>66649</xdr:rowOff>
    </xdr:from>
    <xdr:to>
      <xdr:col>16</xdr:col>
      <xdr:colOff>467766</xdr:colOff>
      <xdr:row>12</xdr:row>
      <xdr:rowOff>108381</xdr:rowOff>
    </xdr:to>
    <xdr:cxnSp macro="">
      <xdr:nvCxnSpPr>
        <xdr:cNvPr id="927" name="Прямая соединительная линия 926"/>
        <xdr:cNvCxnSpPr/>
      </xdr:nvCxnSpPr>
      <xdr:spPr>
        <a:xfrm flipH="1">
          <a:off x="10201033" y="2352649"/>
          <a:ext cx="20333" cy="4173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430072</xdr:colOff>
      <xdr:row>12</xdr:row>
      <xdr:rowOff>108381</xdr:rowOff>
    </xdr:from>
    <xdr:to>
      <xdr:col>16</xdr:col>
      <xdr:colOff>447433</xdr:colOff>
      <xdr:row>12</xdr:row>
      <xdr:rowOff>153619</xdr:rowOff>
    </xdr:to>
    <xdr:cxnSp macro="">
      <xdr:nvCxnSpPr>
        <xdr:cNvPr id="928" name="Прямая соединительная линия 927"/>
        <xdr:cNvCxnSpPr/>
      </xdr:nvCxnSpPr>
      <xdr:spPr>
        <a:xfrm flipH="1">
          <a:off x="10183672" y="2394381"/>
          <a:ext cx="17361" cy="4523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416217</xdr:colOff>
      <xdr:row>12</xdr:row>
      <xdr:rowOff>153619</xdr:rowOff>
    </xdr:from>
    <xdr:to>
      <xdr:col>16</xdr:col>
      <xdr:colOff>430072</xdr:colOff>
      <xdr:row>12</xdr:row>
      <xdr:rowOff>202209</xdr:rowOff>
    </xdr:to>
    <xdr:cxnSp macro="">
      <xdr:nvCxnSpPr>
        <xdr:cNvPr id="929" name="Прямая соединительная линия 928"/>
        <xdr:cNvCxnSpPr/>
      </xdr:nvCxnSpPr>
      <xdr:spPr>
        <a:xfrm flipH="1">
          <a:off x="10169817" y="2439619"/>
          <a:ext cx="13855" cy="4859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12</xdr:row>
      <xdr:rowOff>202209</xdr:rowOff>
    </xdr:from>
    <xdr:to>
      <xdr:col>16</xdr:col>
      <xdr:colOff>416217</xdr:colOff>
      <xdr:row>12</xdr:row>
      <xdr:rowOff>254000</xdr:rowOff>
    </xdr:to>
    <xdr:cxnSp macro="">
      <xdr:nvCxnSpPr>
        <xdr:cNvPr id="930" name="Прямая соединительная линия 929"/>
        <xdr:cNvCxnSpPr/>
      </xdr:nvCxnSpPr>
      <xdr:spPr>
        <a:xfrm flipH="1">
          <a:off x="10160000" y="2488209"/>
          <a:ext cx="9817" cy="5179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254000</xdr:colOff>
      <xdr:row>6</xdr:row>
      <xdr:rowOff>127000</xdr:rowOff>
    </xdr:from>
    <xdr:to>
      <xdr:col>10</xdr:col>
      <xdr:colOff>306190</xdr:colOff>
      <xdr:row>7</xdr:row>
      <xdr:rowOff>30651</xdr:rowOff>
    </xdr:to>
    <xdr:cxnSp macro="">
      <xdr:nvCxnSpPr>
        <xdr:cNvPr id="931" name="Прямая соединительная линия 930"/>
        <xdr:cNvCxnSpPr/>
      </xdr:nvCxnSpPr>
      <xdr:spPr>
        <a:xfrm>
          <a:off x="6350000" y="1270000"/>
          <a:ext cx="52190" cy="9415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306190</xdr:colOff>
      <xdr:row>7</xdr:row>
      <xdr:rowOff>30651</xdr:rowOff>
    </xdr:from>
    <xdr:to>
      <xdr:col>10</xdr:col>
      <xdr:colOff>356057</xdr:colOff>
      <xdr:row>7</xdr:row>
      <xdr:rowOff>115163</xdr:rowOff>
    </xdr:to>
    <xdr:cxnSp macro="">
      <xdr:nvCxnSpPr>
        <xdr:cNvPr id="932" name="Прямая соединительная линия 931"/>
        <xdr:cNvCxnSpPr/>
      </xdr:nvCxnSpPr>
      <xdr:spPr>
        <a:xfrm>
          <a:off x="6402190" y="1364151"/>
          <a:ext cx="49867" cy="8451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356057</xdr:colOff>
      <xdr:row>7</xdr:row>
      <xdr:rowOff>115163</xdr:rowOff>
    </xdr:from>
    <xdr:to>
      <xdr:col>10</xdr:col>
      <xdr:colOff>403561</xdr:colOff>
      <xdr:row>7</xdr:row>
      <xdr:rowOff>190303</xdr:rowOff>
    </xdr:to>
    <xdr:cxnSp macro="">
      <xdr:nvCxnSpPr>
        <xdr:cNvPr id="933" name="Прямая соединительная линия 932"/>
        <xdr:cNvCxnSpPr/>
      </xdr:nvCxnSpPr>
      <xdr:spPr>
        <a:xfrm>
          <a:off x="6452057" y="1448663"/>
          <a:ext cx="47504" cy="75140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403561</xdr:colOff>
      <xdr:row>7</xdr:row>
      <xdr:rowOff>190303</xdr:rowOff>
    </xdr:from>
    <xdr:to>
      <xdr:col>10</xdr:col>
      <xdr:colOff>448665</xdr:colOff>
      <xdr:row>8</xdr:row>
      <xdr:rowOff>65836</xdr:rowOff>
    </xdr:to>
    <xdr:cxnSp macro="">
      <xdr:nvCxnSpPr>
        <xdr:cNvPr id="934" name="Прямая соединительная линия 933"/>
        <xdr:cNvCxnSpPr/>
      </xdr:nvCxnSpPr>
      <xdr:spPr>
        <a:xfrm>
          <a:off x="6499561" y="1523803"/>
          <a:ext cx="45104" cy="6603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448665</xdr:colOff>
      <xdr:row>8</xdr:row>
      <xdr:rowOff>65836</xdr:rowOff>
    </xdr:from>
    <xdr:to>
      <xdr:col>10</xdr:col>
      <xdr:colOff>491331</xdr:colOff>
      <xdr:row>8</xdr:row>
      <xdr:rowOff>123031</xdr:rowOff>
    </xdr:to>
    <xdr:cxnSp macro="">
      <xdr:nvCxnSpPr>
        <xdr:cNvPr id="935" name="Прямая соединительная линия 934"/>
        <xdr:cNvCxnSpPr/>
      </xdr:nvCxnSpPr>
      <xdr:spPr>
        <a:xfrm>
          <a:off x="6544665" y="1589836"/>
          <a:ext cx="42666" cy="571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491331</xdr:colOff>
      <xdr:row>8</xdr:row>
      <xdr:rowOff>123031</xdr:rowOff>
    </xdr:from>
    <xdr:to>
      <xdr:col>10</xdr:col>
      <xdr:colOff>531520</xdr:colOff>
      <xdr:row>8</xdr:row>
      <xdr:rowOff>171653</xdr:rowOff>
    </xdr:to>
    <xdr:cxnSp macro="">
      <xdr:nvCxnSpPr>
        <xdr:cNvPr id="936" name="Прямая соединительная линия 935"/>
        <xdr:cNvCxnSpPr/>
      </xdr:nvCxnSpPr>
      <xdr:spPr>
        <a:xfrm>
          <a:off x="6587331" y="1647031"/>
          <a:ext cx="40189" cy="4862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531520</xdr:colOff>
      <xdr:row>8</xdr:row>
      <xdr:rowOff>171653</xdr:rowOff>
    </xdr:from>
    <xdr:to>
      <xdr:col>10</xdr:col>
      <xdr:colOff>569194</xdr:colOff>
      <xdr:row>9</xdr:row>
      <xdr:rowOff>21469</xdr:rowOff>
    </xdr:to>
    <xdr:cxnSp macro="">
      <xdr:nvCxnSpPr>
        <xdr:cNvPr id="937" name="Прямая соединительная линия 936"/>
        <xdr:cNvCxnSpPr/>
      </xdr:nvCxnSpPr>
      <xdr:spPr>
        <a:xfrm>
          <a:off x="6627520" y="1695653"/>
          <a:ext cx="37674" cy="4031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569194</xdr:colOff>
      <xdr:row>9</xdr:row>
      <xdr:rowOff>21469</xdr:rowOff>
    </xdr:from>
    <xdr:to>
      <xdr:col>10</xdr:col>
      <xdr:colOff>604316</xdr:colOff>
      <xdr:row>9</xdr:row>
      <xdr:rowOff>53746</xdr:rowOff>
    </xdr:to>
    <xdr:cxnSp macro="">
      <xdr:nvCxnSpPr>
        <xdr:cNvPr id="938" name="Прямая соединительная линия 937"/>
        <xdr:cNvCxnSpPr/>
      </xdr:nvCxnSpPr>
      <xdr:spPr>
        <a:xfrm>
          <a:off x="6665194" y="1735969"/>
          <a:ext cx="35122" cy="3227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604316</xdr:colOff>
      <xdr:row>9</xdr:row>
      <xdr:rowOff>53746</xdr:rowOff>
    </xdr:from>
    <xdr:to>
      <xdr:col>11</xdr:col>
      <xdr:colOff>27247</xdr:colOff>
      <xdr:row>9</xdr:row>
      <xdr:rowOff>78251</xdr:rowOff>
    </xdr:to>
    <xdr:cxnSp macro="">
      <xdr:nvCxnSpPr>
        <xdr:cNvPr id="939" name="Прямая соединительная линия 938"/>
        <xdr:cNvCxnSpPr/>
      </xdr:nvCxnSpPr>
      <xdr:spPr>
        <a:xfrm>
          <a:off x="6700316" y="1768246"/>
          <a:ext cx="32531" cy="2450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27247</xdr:colOff>
      <xdr:row>9</xdr:row>
      <xdr:rowOff>78251</xdr:rowOff>
    </xdr:from>
    <xdr:to>
      <xdr:col>11</xdr:col>
      <xdr:colOff>57150</xdr:colOff>
      <xdr:row>9</xdr:row>
      <xdr:rowOff>95250</xdr:rowOff>
    </xdr:to>
    <xdr:cxnSp macro="">
      <xdr:nvCxnSpPr>
        <xdr:cNvPr id="940" name="Прямая соединительная линия 939"/>
        <xdr:cNvCxnSpPr/>
      </xdr:nvCxnSpPr>
      <xdr:spPr>
        <a:xfrm>
          <a:off x="6732847" y="1792751"/>
          <a:ext cx="29903" cy="169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9</xdr:row>
      <xdr:rowOff>95250</xdr:rowOff>
    </xdr:from>
    <xdr:to>
      <xdr:col>11</xdr:col>
      <xdr:colOff>84384</xdr:colOff>
      <xdr:row>9</xdr:row>
      <xdr:rowOff>105009</xdr:rowOff>
    </xdr:to>
    <xdr:cxnSp macro="">
      <xdr:nvCxnSpPr>
        <xdr:cNvPr id="941" name="Прямая соединительная линия 940"/>
        <xdr:cNvCxnSpPr/>
      </xdr:nvCxnSpPr>
      <xdr:spPr>
        <a:xfrm>
          <a:off x="6762750" y="1809750"/>
          <a:ext cx="27234" cy="975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84384</xdr:colOff>
      <xdr:row>9</xdr:row>
      <xdr:rowOff>105009</xdr:rowOff>
    </xdr:from>
    <xdr:to>
      <xdr:col>11</xdr:col>
      <xdr:colOff>108915</xdr:colOff>
      <xdr:row>9</xdr:row>
      <xdr:rowOff>107797</xdr:rowOff>
    </xdr:to>
    <xdr:cxnSp macro="">
      <xdr:nvCxnSpPr>
        <xdr:cNvPr id="942" name="Прямая соединительная линия 941"/>
        <xdr:cNvCxnSpPr/>
      </xdr:nvCxnSpPr>
      <xdr:spPr>
        <a:xfrm>
          <a:off x="6789984" y="1819509"/>
          <a:ext cx="24531" cy="278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108915</xdr:colOff>
      <xdr:row>9</xdr:row>
      <xdr:rowOff>103879</xdr:rowOff>
    </xdr:from>
    <xdr:to>
      <xdr:col>11</xdr:col>
      <xdr:colOff>130702</xdr:colOff>
      <xdr:row>9</xdr:row>
      <xdr:rowOff>107797</xdr:rowOff>
    </xdr:to>
    <xdr:cxnSp macro="">
      <xdr:nvCxnSpPr>
        <xdr:cNvPr id="943" name="Прямая соединительная линия 942"/>
        <xdr:cNvCxnSpPr/>
      </xdr:nvCxnSpPr>
      <xdr:spPr>
        <a:xfrm flipV="1">
          <a:off x="6814515" y="1818379"/>
          <a:ext cx="21787" cy="391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130702</xdr:colOff>
      <xdr:row>9</xdr:row>
      <xdr:rowOff>93522</xdr:rowOff>
    </xdr:from>
    <xdr:to>
      <xdr:col>11</xdr:col>
      <xdr:colOff>149707</xdr:colOff>
      <xdr:row>9</xdr:row>
      <xdr:rowOff>103879</xdr:rowOff>
    </xdr:to>
    <xdr:cxnSp macro="">
      <xdr:nvCxnSpPr>
        <xdr:cNvPr id="944" name="Прямая соединительная линия 943"/>
        <xdr:cNvCxnSpPr/>
      </xdr:nvCxnSpPr>
      <xdr:spPr>
        <a:xfrm flipV="1">
          <a:off x="6836302" y="1808022"/>
          <a:ext cx="19005" cy="1035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149707</xdr:colOff>
      <xdr:row>9</xdr:row>
      <xdr:rowOff>76993</xdr:rowOff>
    </xdr:from>
    <xdr:to>
      <xdr:col>11</xdr:col>
      <xdr:colOff>165893</xdr:colOff>
      <xdr:row>9</xdr:row>
      <xdr:rowOff>93522</xdr:rowOff>
    </xdr:to>
    <xdr:cxnSp macro="">
      <xdr:nvCxnSpPr>
        <xdr:cNvPr id="945" name="Прямая соединительная линия 944"/>
        <xdr:cNvCxnSpPr/>
      </xdr:nvCxnSpPr>
      <xdr:spPr>
        <a:xfrm flipV="1">
          <a:off x="6855307" y="1791493"/>
          <a:ext cx="16186" cy="1652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165893</xdr:colOff>
      <xdr:row>9</xdr:row>
      <xdr:rowOff>54559</xdr:rowOff>
    </xdr:from>
    <xdr:to>
      <xdr:col>11</xdr:col>
      <xdr:colOff>179222</xdr:colOff>
      <xdr:row>9</xdr:row>
      <xdr:rowOff>76993</xdr:rowOff>
    </xdr:to>
    <xdr:cxnSp macro="">
      <xdr:nvCxnSpPr>
        <xdr:cNvPr id="946" name="Прямая соединительная линия 945"/>
        <xdr:cNvCxnSpPr/>
      </xdr:nvCxnSpPr>
      <xdr:spPr>
        <a:xfrm flipV="1">
          <a:off x="6871493" y="1769059"/>
          <a:ext cx="13329" cy="2243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179222</xdr:colOff>
      <xdr:row>9</xdr:row>
      <xdr:rowOff>26485</xdr:rowOff>
    </xdr:from>
    <xdr:to>
      <xdr:col>11</xdr:col>
      <xdr:colOff>189655</xdr:colOff>
      <xdr:row>9</xdr:row>
      <xdr:rowOff>54559</xdr:rowOff>
    </xdr:to>
    <xdr:cxnSp macro="">
      <xdr:nvCxnSpPr>
        <xdr:cNvPr id="947" name="Прямая соединительная линия 946"/>
        <xdr:cNvCxnSpPr/>
      </xdr:nvCxnSpPr>
      <xdr:spPr>
        <a:xfrm flipV="1">
          <a:off x="6884822" y="1740985"/>
          <a:ext cx="10433" cy="2807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189655</xdr:colOff>
      <xdr:row>8</xdr:row>
      <xdr:rowOff>183540</xdr:rowOff>
    </xdr:from>
    <xdr:to>
      <xdr:col>11</xdr:col>
      <xdr:colOff>197154</xdr:colOff>
      <xdr:row>9</xdr:row>
      <xdr:rowOff>26485</xdr:rowOff>
    </xdr:to>
    <xdr:cxnSp macro="">
      <xdr:nvCxnSpPr>
        <xdr:cNvPr id="948" name="Прямая соединительная линия 947"/>
        <xdr:cNvCxnSpPr/>
      </xdr:nvCxnSpPr>
      <xdr:spPr>
        <a:xfrm flipV="1">
          <a:off x="6895255" y="1707540"/>
          <a:ext cx="7499" cy="3344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197154</xdr:colOff>
      <xdr:row>8</xdr:row>
      <xdr:rowOff>144989</xdr:rowOff>
    </xdr:from>
    <xdr:to>
      <xdr:col>11</xdr:col>
      <xdr:colOff>201682</xdr:colOff>
      <xdr:row>8</xdr:row>
      <xdr:rowOff>183540</xdr:rowOff>
    </xdr:to>
    <xdr:cxnSp macro="">
      <xdr:nvCxnSpPr>
        <xdr:cNvPr id="949" name="Прямая соединительная линия 948"/>
        <xdr:cNvCxnSpPr/>
      </xdr:nvCxnSpPr>
      <xdr:spPr>
        <a:xfrm flipV="1">
          <a:off x="6902754" y="1668989"/>
          <a:ext cx="4528" cy="3855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201682</xdr:colOff>
      <xdr:row>8</xdr:row>
      <xdr:rowOff>101600</xdr:rowOff>
    </xdr:from>
    <xdr:to>
      <xdr:col>11</xdr:col>
      <xdr:colOff>203200</xdr:colOff>
      <xdr:row>8</xdr:row>
      <xdr:rowOff>144989</xdr:rowOff>
    </xdr:to>
    <xdr:cxnSp macro="">
      <xdr:nvCxnSpPr>
        <xdr:cNvPr id="950" name="Прямая соединительная линия 949"/>
        <xdr:cNvCxnSpPr/>
      </xdr:nvCxnSpPr>
      <xdr:spPr>
        <a:xfrm flipV="1">
          <a:off x="6907282" y="1625600"/>
          <a:ext cx="1518" cy="4338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203200</xdr:colOff>
      <xdr:row>8</xdr:row>
      <xdr:rowOff>72663</xdr:rowOff>
    </xdr:from>
    <xdr:to>
      <xdr:col>11</xdr:col>
      <xdr:colOff>204336</xdr:colOff>
      <xdr:row>8</xdr:row>
      <xdr:rowOff>101600</xdr:rowOff>
    </xdr:to>
    <xdr:cxnSp macro="">
      <xdr:nvCxnSpPr>
        <xdr:cNvPr id="951" name="Прямая соединительная линия 950"/>
        <xdr:cNvCxnSpPr/>
      </xdr:nvCxnSpPr>
      <xdr:spPr>
        <a:xfrm flipV="1">
          <a:off x="6908800" y="1596663"/>
          <a:ext cx="1136" cy="28937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204336</xdr:colOff>
      <xdr:row>8</xdr:row>
      <xdr:rowOff>46888</xdr:rowOff>
    </xdr:from>
    <xdr:to>
      <xdr:col>11</xdr:col>
      <xdr:colOff>207721</xdr:colOff>
      <xdr:row>8</xdr:row>
      <xdr:rowOff>72663</xdr:rowOff>
    </xdr:to>
    <xdr:cxnSp macro="">
      <xdr:nvCxnSpPr>
        <xdr:cNvPr id="952" name="Прямая соединительная линия 951"/>
        <xdr:cNvCxnSpPr/>
      </xdr:nvCxnSpPr>
      <xdr:spPr>
        <a:xfrm flipV="1">
          <a:off x="6909936" y="1570888"/>
          <a:ext cx="3385" cy="2577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207721</xdr:colOff>
      <xdr:row>8</xdr:row>
      <xdr:rowOff>24390</xdr:rowOff>
    </xdr:from>
    <xdr:to>
      <xdr:col>11</xdr:col>
      <xdr:colOff>213315</xdr:colOff>
      <xdr:row>8</xdr:row>
      <xdr:rowOff>46888</xdr:rowOff>
    </xdr:to>
    <xdr:cxnSp macro="">
      <xdr:nvCxnSpPr>
        <xdr:cNvPr id="953" name="Прямая соединительная линия 952"/>
        <xdr:cNvCxnSpPr/>
      </xdr:nvCxnSpPr>
      <xdr:spPr>
        <a:xfrm flipV="1">
          <a:off x="6913321" y="1548390"/>
          <a:ext cx="5594" cy="2249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213315</xdr:colOff>
      <xdr:row>8</xdr:row>
      <xdr:rowOff>5283</xdr:rowOff>
    </xdr:from>
    <xdr:to>
      <xdr:col>11</xdr:col>
      <xdr:colOff>221081</xdr:colOff>
      <xdr:row>8</xdr:row>
      <xdr:rowOff>24390</xdr:rowOff>
    </xdr:to>
    <xdr:cxnSp macro="">
      <xdr:nvCxnSpPr>
        <xdr:cNvPr id="954" name="Прямая соединительная линия 953"/>
        <xdr:cNvCxnSpPr/>
      </xdr:nvCxnSpPr>
      <xdr:spPr>
        <a:xfrm flipV="1">
          <a:off x="6918915" y="1529283"/>
          <a:ext cx="7766" cy="19107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221081</xdr:colOff>
      <xdr:row>7</xdr:row>
      <xdr:rowOff>180181</xdr:rowOff>
    </xdr:from>
    <xdr:to>
      <xdr:col>11</xdr:col>
      <xdr:colOff>230981</xdr:colOff>
      <xdr:row>8</xdr:row>
      <xdr:rowOff>5283</xdr:rowOff>
    </xdr:to>
    <xdr:cxnSp macro="">
      <xdr:nvCxnSpPr>
        <xdr:cNvPr id="955" name="Прямая соединительная линия 954"/>
        <xdr:cNvCxnSpPr/>
      </xdr:nvCxnSpPr>
      <xdr:spPr>
        <a:xfrm flipV="1">
          <a:off x="6926681" y="1513681"/>
          <a:ext cx="9900" cy="1560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230981</xdr:colOff>
      <xdr:row>7</xdr:row>
      <xdr:rowOff>168198</xdr:rowOff>
    </xdr:from>
    <xdr:to>
      <xdr:col>11</xdr:col>
      <xdr:colOff>242976</xdr:colOff>
      <xdr:row>7</xdr:row>
      <xdr:rowOff>180181</xdr:rowOff>
    </xdr:to>
    <xdr:cxnSp macro="">
      <xdr:nvCxnSpPr>
        <xdr:cNvPr id="956" name="Прямая соединительная линия 955"/>
        <xdr:cNvCxnSpPr/>
      </xdr:nvCxnSpPr>
      <xdr:spPr>
        <a:xfrm flipV="1">
          <a:off x="6936581" y="1501698"/>
          <a:ext cx="11995" cy="11983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242976</xdr:colOff>
      <xdr:row>7</xdr:row>
      <xdr:rowOff>159950</xdr:rowOff>
    </xdr:from>
    <xdr:to>
      <xdr:col>11</xdr:col>
      <xdr:colOff>257029</xdr:colOff>
      <xdr:row>7</xdr:row>
      <xdr:rowOff>168198</xdr:rowOff>
    </xdr:to>
    <xdr:cxnSp macro="">
      <xdr:nvCxnSpPr>
        <xdr:cNvPr id="957" name="Прямая соединительная линия 956"/>
        <xdr:cNvCxnSpPr/>
      </xdr:nvCxnSpPr>
      <xdr:spPr>
        <a:xfrm flipV="1">
          <a:off x="6948576" y="1493450"/>
          <a:ext cx="14053" cy="824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257029</xdr:colOff>
      <xdr:row>7</xdr:row>
      <xdr:rowOff>155549</xdr:rowOff>
    </xdr:from>
    <xdr:to>
      <xdr:col>11</xdr:col>
      <xdr:colOff>273101</xdr:colOff>
      <xdr:row>7</xdr:row>
      <xdr:rowOff>159950</xdr:rowOff>
    </xdr:to>
    <xdr:cxnSp macro="">
      <xdr:nvCxnSpPr>
        <xdr:cNvPr id="958" name="Прямая соединительная линия 957"/>
        <xdr:cNvCxnSpPr/>
      </xdr:nvCxnSpPr>
      <xdr:spPr>
        <a:xfrm flipV="1">
          <a:off x="6962629" y="1489049"/>
          <a:ext cx="16072" cy="440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273101</xdr:colOff>
      <xdr:row>7</xdr:row>
      <xdr:rowOff>155111</xdr:rowOff>
    </xdr:from>
    <xdr:to>
      <xdr:col>11</xdr:col>
      <xdr:colOff>291153</xdr:colOff>
      <xdr:row>7</xdr:row>
      <xdr:rowOff>155549</xdr:rowOff>
    </xdr:to>
    <xdr:cxnSp macro="">
      <xdr:nvCxnSpPr>
        <xdr:cNvPr id="959" name="Прямая соединительная линия 958"/>
        <xdr:cNvCxnSpPr/>
      </xdr:nvCxnSpPr>
      <xdr:spPr>
        <a:xfrm flipV="1">
          <a:off x="6978701" y="1488611"/>
          <a:ext cx="18052" cy="43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291153</xdr:colOff>
      <xdr:row>7</xdr:row>
      <xdr:rowOff>155111</xdr:rowOff>
    </xdr:from>
    <xdr:to>
      <xdr:col>11</xdr:col>
      <xdr:colOff>311150</xdr:colOff>
      <xdr:row>7</xdr:row>
      <xdr:rowOff>158750</xdr:rowOff>
    </xdr:to>
    <xdr:cxnSp macro="">
      <xdr:nvCxnSpPr>
        <xdr:cNvPr id="960" name="Прямая соединительная линия 959"/>
        <xdr:cNvCxnSpPr/>
      </xdr:nvCxnSpPr>
      <xdr:spPr>
        <a:xfrm>
          <a:off x="6996753" y="1488611"/>
          <a:ext cx="19997" cy="363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311150</xdr:colOff>
      <xdr:row>7</xdr:row>
      <xdr:rowOff>158750</xdr:rowOff>
    </xdr:from>
    <xdr:to>
      <xdr:col>11</xdr:col>
      <xdr:colOff>333050</xdr:colOff>
      <xdr:row>7</xdr:row>
      <xdr:rowOff>166579</xdr:rowOff>
    </xdr:to>
    <xdr:cxnSp macro="">
      <xdr:nvCxnSpPr>
        <xdr:cNvPr id="961" name="Прямая соединительная линия 960"/>
        <xdr:cNvCxnSpPr/>
      </xdr:nvCxnSpPr>
      <xdr:spPr>
        <a:xfrm>
          <a:off x="7016750" y="1492250"/>
          <a:ext cx="21900" cy="782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333050</xdr:colOff>
      <xdr:row>7</xdr:row>
      <xdr:rowOff>166579</xdr:rowOff>
    </xdr:from>
    <xdr:to>
      <xdr:col>11</xdr:col>
      <xdr:colOff>356819</xdr:colOff>
      <xdr:row>7</xdr:row>
      <xdr:rowOff>178714</xdr:rowOff>
    </xdr:to>
    <xdr:cxnSp macro="">
      <xdr:nvCxnSpPr>
        <xdr:cNvPr id="962" name="Прямая соединительная линия 961"/>
        <xdr:cNvCxnSpPr/>
      </xdr:nvCxnSpPr>
      <xdr:spPr>
        <a:xfrm>
          <a:off x="7038650" y="1500079"/>
          <a:ext cx="23769" cy="1213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356819</xdr:colOff>
      <xdr:row>7</xdr:row>
      <xdr:rowOff>178714</xdr:rowOff>
    </xdr:from>
    <xdr:to>
      <xdr:col>11</xdr:col>
      <xdr:colOff>382416</xdr:colOff>
      <xdr:row>8</xdr:row>
      <xdr:rowOff>4768</xdr:rowOff>
    </xdr:to>
    <xdr:cxnSp macro="">
      <xdr:nvCxnSpPr>
        <xdr:cNvPr id="963" name="Прямая соединительная линия 962"/>
        <xdr:cNvCxnSpPr/>
      </xdr:nvCxnSpPr>
      <xdr:spPr>
        <a:xfrm>
          <a:off x="7062419" y="1512214"/>
          <a:ext cx="25597" cy="16554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382416</xdr:colOff>
      <xdr:row>8</xdr:row>
      <xdr:rowOff>4768</xdr:rowOff>
    </xdr:from>
    <xdr:to>
      <xdr:col>11</xdr:col>
      <xdr:colOff>409803</xdr:colOff>
      <xdr:row>8</xdr:row>
      <xdr:rowOff>25857</xdr:rowOff>
    </xdr:to>
    <xdr:cxnSp macro="">
      <xdr:nvCxnSpPr>
        <xdr:cNvPr id="964" name="Прямая соединительная линия 963"/>
        <xdr:cNvCxnSpPr/>
      </xdr:nvCxnSpPr>
      <xdr:spPr>
        <a:xfrm>
          <a:off x="7088016" y="1528768"/>
          <a:ext cx="27387" cy="2108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409803</xdr:colOff>
      <xdr:row>8</xdr:row>
      <xdr:rowOff>25857</xdr:rowOff>
    </xdr:from>
    <xdr:to>
      <xdr:col>11</xdr:col>
      <xdr:colOff>438943</xdr:colOff>
      <xdr:row>8</xdr:row>
      <xdr:rowOff>51593</xdr:rowOff>
    </xdr:to>
    <xdr:cxnSp macro="">
      <xdr:nvCxnSpPr>
        <xdr:cNvPr id="965" name="Прямая соединительная линия 964"/>
        <xdr:cNvCxnSpPr/>
      </xdr:nvCxnSpPr>
      <xdr:spPr>
        <a:xfrm>
          <a:off x="7115403" y="1549857"/>
          <a:ext cx="29140" cy="2573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438943</xdr:colOff>
      <xdr:row>8</xdr:row>
      <xdr:rowOff>51593</xdr:rowOff>
    </xdr:from>
    <xdr:to>
      <xdr:col>11</xdr:col>
      <xdr:colOff>469798</xdr:colOff>
      <xdr:row>8</xdr:row>
      <xdr:rowOff>82092</xdr:rowOff>
    </xdr:to>
    <xdr:cxnSp macro="">
      <xdr:nvCxnSpPr>
        <xdr:cNvPr id="966" name="Прямая соединительная линия 965"/>
        <xdr:cNvCxnSpPr/>
      </xdr:nvCxnSpPr>
      <xdr:spPr>
        <a:xfrm>
          <a:off x="7144543" y="1575593"/>
          <a:ext cx="30855" cy="3049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469798</xdr:colOff>
      <xdr:row>8</xdr:row>
      <xdr:rowOff>82092</xdr:rowOff>
    </xdr:from>
    <xdr:to>
      <xdr:col>11</xdr:col>
      <xdr:colOff>502329</xdr:colOff>
      <xdr:row>8</xdr:row>
      <xdr:rowOff>117468</xdr:rowOff>
    </xdr:to>
    <xdr:cxnSp macro="">
      <xdr:nvCxnSpPr>
        <xdr:cNvPr id="967" name="Прямая соединительная линия 966"/>
        <xdr:cNvCxnSpPr/>
      </xdr:nvCxnSpPr>
      <xdr:spPr>
        <a:xfrm>
          <a:off x="7175398" y="1606092"/>
          <a:ext cx="32531" cy="3537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502329</xdr:colOff>
      <xdr:row>8</xdr:row>
      <xdr:rowOff>117468</xdr:rowOff>
    </xdr:from>
    <xdr:to>
      <xdr:col>11</xdr:col>
      <xdr:colOff>536499</xdr:colOff>
      <xdr:row>8</xdr:row>
      <xdr:rowOff>157835</xdr:rowOff>
    </xdr:to>
    <xdr:cxnSp macro="">
      <xdr:nvCxnSpPr>
        <xdr:cNvPr id="968" name="Прямая соединительная линия 967"/>
        <xdr:cNvCxnSpPr/>
      </xdr:nvCxnSpPr>
      <xdr:spPr>
        <a:xfrm>
          <a:off x="7207929" y="1641468"/>
          <a:ext cx="34170" cy="40367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536499</xdr:colOff>
      <xdr:row>8</xdr:row>
      <xdr:rowOff>157835</xdr:rowOff>
    </xdr:from>
    <xdr:to>
      <xdr:col>11</xdr:col>
      <xdr:colOff>572268</xdr:colOff>
      <xdr:row>9</xdr:row>
      <xdr:rowOff>12807</xdr:rowOff>
    </xdr:to>
    <xdr:cxnSp macro="">
      <xdr:nvCxnSpPr>
        <xdr:cNvPr id="969" name="Прямая соединительная линия 968"/>
        <xdr:cNvCxnSpPr/>
      </xdr:nvCxnSpPr>
      <xdr:spPr>
        <a:xfrm>
          <a:off x="7242099" y="1681835"/>
          <a:ext cx="35769" cy="4547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572268</xdr:colOff>
      <xdr:row>9</xdr:row>
      <xdr:rowOff>12807</xdr:rowOff>
    </xdr:from>
    <xdr:to>
      <xdr:col>12</xdr:col>
      <xdr:colOff>0</xdr:colOff>
      <xdr:row>9</xdr:row>
      <xdr:rowOff>63500</xdr:rowOff>
    </xdr:to>
    <xdr:cxnSp macro="">
      <xdr:nvCxnSpPr>
        <xdr:cNvPr id="970" name="Прямая соединительная линия 969"/>
        <xdr:cNvCxnSpPr/>
      </xdr:nvCxnSpPr>
      <xdr:spPr>
        <a:xfrm>
          <a:off x="7277868" y="1727307"/>
          <a:ext cx="37332" cy="50693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9</xdr:row>
      <xdr:rowOff>63500</xdr:rowOff>
    </xdr:from>
    <xdr:to>
      <xdr:col>12</xdr:col>
      <xdr:colOff>35839</xdr:colOff>
      <xdr:row>9</xdr:row>
      <xdr:rowOff>114947</xdr:rowOff>
    </xdr:to>
    <xdr:cxnSp macro="">
      <xdr:nvCxnSpPr>
        <xdr:cNvPr id="971" name="Прямая соединительная линия 970"/>
        <xdr:cNvCxnSpPr/>
      </xdr:nvCxnSpPr>
      <xdr:spPr>
        <a:xfrm>
          <a:off x="7315200" y="1778000"/>
          <a:ext cx="35839" cy="5144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35839</xdr:colOff>
      <xdr:row>9</xdr:row>
      <xdr:rowOff>114947</xdr:rowOff>
    </xdr:from>
    <xdr:to>
      <xdr:col>12</xdr:col>
      <xdr:colOff>67259</xdr:colOff>
      <xdr:row>9</xdr:row>
      <xdr:rowOff>162661</xdr:rowOff>
    </xdr:to>
    <xdr:cxnSp macro="">
      <xdr:nvCxnSpPr>
        <xdr:cNvPr id="972" name="Прямая соединительная линия 971"/>
        <xdr:cNvCxnSpPr/>
      </xdr:nvCxnSpPr>
      <xdr:spPr>
        <a:xfrm>
          <a:off x="7351039" y="1829447"/>
          <a:ext cx="31420" cy="4771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67259</xdr:colOff>
      <xdr:row>9</xdr:row>
      <xdr:rowOff>162661</xdr:rowOff>
    </xdr:from>
    <xdr:to>
      <xdr:col>12</xdr:col>
      <xdr:colOff>94412</xdr:colOff>
      <xdr:row>10</xdr:row>
      <xdr:rowOff>16217</xdr:rowOff>
    </xdr:to>
    <xdr:cxnSp macro="">
      <xdr:nvCxnSpPr>
        <xdr:cNvPr id="973" name="Прямая соединительная линия 972"/>
        <xdr:cNvCxnSpPr/>
      </xdr:nvCxnSpPr>
      <xdr:spPr>
        <a:xfrm>
          <a:off x="7382459" y="1877161"/>
          <a:ext cx="27153" cy="4405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94412</xdr:colOff>
      <xdr:row>10</xdr:row>
      <xdr:rowOff>16217</xdr:rowOff>
    </xdr:from>
    <xdr:to>
      <xdr:col>12</xdr:col>
      <xdr:colOff>117449</xdr:colOff>
      <xdr:row>10</xdr:row>
      <xdr:rowOff>56692</xdr:rowOff>
    </xdr:to>
    <xdr:cxnSp macro="">
      <xdr:nvCxnSpPr>
        <xdr:cNvPr id="974" name="Прямая соединительная линия 973"/>
        <xdr:cNvCxnSpPr/>
      </xdr:nvCxnSpPr>
      <xdr:spPr>
        <a:xfrm>
          <a:off x="7409612" y="1921217"/>
          <a:ext cx="23037" cy="404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117449</xdr:colOff>
      <xdr:row>10</xdr:row>
      <xdr:rowOff>56692</xdr:rowOff>
    </xdr:from>
    <xdr:to>
      <xdr:col>12</xdr:col>
      <xdr:colOff>136525</xdr:colOff>
      <xdr:row>10</xdr:row>
      <xdr:rowOff>93662</xdr:rowOff>
    </xdr:to>
    <xdr:cxnSp macro="">
      <xdr:nvCxnSpPr>
        <xdr:cNvPr id="975" name="Прямая соединительная линия 974"/>
        <xdr:cNvCxnSpPr/>
      </xdr:nvCxnSpPr>
      <xdr:spPr>
        <a:xfrm>
          <a:off x="7432649" y="1961692"/>
          <a:ext cx="19076" cy="3697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136525</xdr:colOff>
      <xdr:row>10</xdr:row>
      <xdr:rowOff>93662</xdr:rowOff>
    </xdr:from>
    <xdr:to>
      <xdr:col>12</xdr:col>
      <xdr:colOff>151790</xdr:colOff>
      <xdr:row>10</xdr:row>
      <xdr:rowOff>127203</xdr:rowOff>
    </xdr:to>
    <xdr:cxnSp macro="">
      <xdr:nvCxnSpPr>
        <xdr:cNvPr id="976" name="Прямая соединительная линия 975"/>
        <xdr:cNvCxnSpPr/>
      </xdr:nvCxnSpPr>
      <xdr:spPr>
        <a:xfrm>
          <a:off x="7451725" y="1998662"/>
          <a:ext cx="15265" cy="3354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151790</xdr:colOff>
      <xdr:row>10</xdr:row>
      <xdr:rowOff>127203</xdr:rowOff>
    </xdr:from>
    <xdr:to>
      <xdr:col>12</xdr:col>
      <xdr:colOff>163398</xdr:colOff>
      <xdr:row>10</xdr:row>
      <xdr:rowOff>157391</xdr:rowOff>
    </xdr:to>
    <xdr:cxnSp macro="">
      <xdr:nvCxnSpPr>
        <xdr:cNvPr id="977" name="Прямая соединительная линия 976"/>
        <xdr:cNvCxnSpPr/>
      </xdr:nvCxnSpPr>
      <xdr:spPr>
        <a:xfrm>
          <a:off x="7466990" y="2032203"/>
          <a:ext cx="11608" cy="3018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163398</xdr:colOff>
      <xdr:row>10</xdr:row>
      <xdr:rowOff>157391</xdr:rowOff>
    </xdr:from>
    <xdr:to>
      <xdr:col>12</xdr:col>
      <xdr:colOff>171501</xdr:colOff>
      <xdr:row>10</xdr:row>
      <xdr:rowOff>184302</xdr:rowOff>
    </xdr:to>
    <xdr:cxnSp macro="">
      <xdr:nvCxnSpPr>
        <xdr:cNvPr id="978" name="Прямая соединительная линия 977"/>
        <xdr:cNvCxnSpPr/>
      </xdr:nvCxnSpPr>
      <xdr:spPr>
        <a:xfrm>
          <a:off x="7478598" y="2062391"/>
          <a:ext cx="8103" cy="2691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171501</xdr:colOff>
      <xdr:row>10</xdr:row>
      <xdr:rowOff>184302</xdr:rowOff>
    </xdr:from>
    <xdr:to>
      <xdr:col>12</xdr:col>
      <xdr:colOff>176250</xdr:colOff>
      <xdr:row>11</xdr:row>
      <xdr:rowOff>17513</xdr:rowOff>
    </xdr:to>
    <xdr:cxnSp macro="">
      <xdr:nvCxnSpPr>
        <xdr:cNvPr id="979" name="Прямая соединительная линия 978"/>
        <xdr:cNvCxnSpPr/>
      </xdr:nvCxnSpPr>
      <xdr:spPr>
        <a:xfrm>
          <a:off x="7486701" y="2089302"/>
          <a:ext cx="4749" cy="2371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176250</xdr:colOff>
      <xdr:row>11</xdr:row>
      <xdr:rowOff>17513</xdr:rowOff>
    </xdr:from>
    <xdr:to>
      <xdr:col>12</xdr:col>
      <xdr:colOff>177800</xdr:colOff>
      <xdr:row>11</xdr:row>
      <xdr:rowOff>38100</xdr:rowOff>
    </xdr:to>
    <xdr:cxnSp macro="">
      <xdr:nvCxnSpPr>
        <xdr:cNvPr id="980" name="Прямая соединительная линия 979"/>
        <xdr:cNvCxnSpPr/>
      </xdr:nvCxnSpPr>
      <xdr:spPr>
        <a:xfrm>
          <a:off x="7491450" y="2113013"/>
          <a:ext cx="1550" cy="205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176301</xdr:colOff>
      <xdr:row>11</xdr:row>
      <xdr:rowOff>38100</xdr:rowOff>
    </xdr:from>
    <xdr:to>
      <xdr:col>12</xdr:col>
      <xdr:colOff>177800</xdr:colOff>
      <xdr:row>11</xdr:row>
      <xdr:rowOff>55638</xdr:rowOff>
    </xdr:to>
    <xdr:cxnSp macro="">
      <xdr:nvCxnSpPr>
        <xdr:cNvPr id="981" name="Прямая соединительная линия 980"/>
        <xdr:cNvCxnSpPr/>
      </xdr:nvCxnSpPr>
      <xdr:spPr>
        <a:xfrm flipH="1">
          <a:off x="7491501" y="2133600"/>
          <a:ext cx="1499" cy="1753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171907</xdr:colOff>
      <xdr:row>11</xdr:row>
      <xdr:rowOff>55638</xdr:rowOff>
    </xdr:from>
    <xdr:to>
      <xdr:col>12</xdr:col>
      <xdr:colOff>176301</xdr:colOff>
      <xdr:row>11</xdr:row>
      <xdr:rowOff>70205</xdr:rowOff>
    </xdr:to>
    <xdr:cxnSp macro="">
      <xdr:nvCxnSpPr>
        <xdr:cNvPr id="982" name="Прямая соединительная линия 981"/>
        <xdr:cNvCxnSpPr/>
      </xdr:nvCxnSpPr>
      <xdr:spPr>
        <a:xfrm flipH="1">
          <a:off x="7487107" y="2151138"/>
          <a:ext cx="4394" cy="1456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164769</xdr:colOff>
      <xdr:row>11</xdr:row>
      <xdr:rowOff>70205</xdr:rowOff>
    </xdr:from>
    <xdr:to>
      <xdr:col>12</xdr:col>
      <xdr:colOff>171907</xdr:colOff>
      <xdr:row>11</xdr:row>
      <xdr:rowOff>81876</xdr:rowOff>
    </xdr:to>
    <xdr:cxnSp macro="">
      <xdr:nvCxnSpPr>
        <xdr:cNvPr id="983" name="Прямая соединительная линия 982"/>
        <xdr:cNvCxnSpPr/>
      </xdr:nvCxnSpPr>
      <xdr:spPr>
        <a:xfrm flipH="1">
          <a:off x="7479969" y="2165705"/>
          <a:ext cx="7138" cy="1167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155041</xdr:colOff>
      <xdr:row>11</xdr:row>
      <xdr:rowOff>81876</xdr:rowOff>
    </xdr:from>
    <xdr:to>
      <xdr:col>12</xdr:col>
      <xdr:colOff>164769</xdr:colOff>
      <xdr:row>11</xdr:row>
      <xdr:rowOff>90728</xdr:rowOff>
    </xdr:to>
    <xdr:cxnSp macro="">
      <xdr:nvCxnSpPr>
        <xdr:cNvPr id="984" name="Прямая соединительная линия 983"/>
        <xdr:cNvCxnSpPr/>
      </xdr:nvCxnSpPr>
      <xdr:spPr>
        <a:xfrm flipH="1">
          <a:off x="7470241" y="2177376"/>
          <a:ext cx="9728" cy="885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11</xdr:row>
      <xdr:rowOff>90728</xdr:rowOff>
    </xdr:from>
    <xdr:to>
      <xdr:col>12</xdr:col>
      <xdr:colOff>155041</xdr:colOff>
      <xdr:row>11</xdr:row>
      <xdr:rowOff>96837</xdr:rowOff>
    </xdr:to>
    <xdr:cxnSp macro="">
      <xdr:nvCxnSpPr>
        <xdr:cNvPr id="985" name="Прямая соединительная линия 984"/>
        <xdr:cNvCxnSpPr/>
      </xdr:nvCxnSpPr>
      <xdr:spPr>
        <a:xfrm flipH="1">
          <a:off x="7458075" y="2186228"/>
          <a:ext cx="12166" cy="610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128422</xdr:colOff>
      <xdr:row>11</xdr:row>
      <xdr:rowOff>96837</xdr:rowOff>
    </xdr:from>
    <xdr:to>
      <xdr:col>12</xdr:col>
      <xdr:colOff>142875</xdr:colOff>
      <xdr:row>11</xdr:row>
      <xdr:rowOff>100279</xdr:rowOff>
    </xdr:to>
    <xdr:cxnSp macro="">
      <xdr:nvCxnSpPr>
        <xdr:cNvPr id="986" name="Прямая соединительная линия 985"/>
        <xdr:cNvCxnSpPr/>
      </xdr:nvCxnSpPr>
      <xdr:spPr>
        <a:xfrm flipH="1">
          <a:off x="7443622" y="2192337"/>
          <a:ext cx="14453" cy="344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111836</xdr:colOff>
      <xdr:row>11</xdr:row>
      <xdr:rowOff>100279</xdr:rowOff>
    </xdr:from>
    <xdr:to>
      <xdr:col>12</xdr:col>
      <xdr:colOff>128422</xdr:colOff>
      <xdr:row>11</xdr:row>
      <xdr:rowOff>101130</xdr:rowOff>
    </xdr:to>
    <xdr:cxnSp macro="">
      <xdr:nvCxnSpPr>
        <xdr:cNvPr id="987" name="Прямая соединительная линия 986"/>
        <xdr:cNvCxnSpPr/>
      </xdr:nvCxnSpPr>
      <xdr:spPr>
        <a:xfrm flipH="1">
          <a:off x="7427036" y="2195779"/>
          <a:ext cx="16586" cy="85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93268</xdr:colOff>
      <xdr:row>11</xdr:row>
      <xdr:rowOff>99466</xdr:rowOff>
    </xdr:from>
    <xdr:to>
      <xdr:col>12</xdr:col>
      <xdr:colOff>111836</xdr:colOff>
      <xdr:row>11</xdr:row>
      <xdr:rowOff>101130</xdr:rowOff>
    </xdr:to>
    <xdr:cxnSp macro="">
      <xdr:nvCxnSpPr>
        <xdr:cNvPr id="988" name="Прямая соединительная линия 987"/>
        <xdr:cNvCxnSpPr/>
      </xdr:nvCxnSpPr>
      <xdr:spPr>
        <a:xfrm flipH="1" flipV="1">
          <a:off x="7408468" y="2194966"/>
          <a:ext cx="18568" cy="166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72872</xdr:colOff>
      <xdr:row>11</xdr:row>
      <xdr:rowOff>95364</xdr:rowOff>
    </xdr:from>
    <xdr:to>
      <xdr:col>12</xdr:col>
      <xdr:colOff>93268</xdr:colOff>
      <xdr:row>11</xdr:row>
      <xdr:rowOff>99466</xdr:rowOff>
    </xdr:to>
    <xdr:cxnSp macro="">
      <xdr:nvCxnSpPr>
        <xdr:cNvPr id="989" name="Прямая соединительная линия 988"/>
        <xdr:cNvCxnSpPr/>
      </xdr:nvCxnSpPr>
      <xdr:spPr>
        <a:xfrm flipH="1" flipV="1">
          <a:off x="7388072" y="2190864"/>
          <a:ext cx="20396" cy="410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50800</xdr:colOff>
      <xdr:row>11</xdr:row>
      <xdr:rowOff>88900</xdr:rowOff>
    </xdr:from>
    <xdr:to>
      <xdr:col>12</xdr:col>
      <xdr:colOff>72872</xdr:colOff>
      <xdr:row>11</xdr:row>
      <xdr:rowOff>95364</xdr:rowOff>
    </xdr:to>
    <xdr:cxnSp macro="">
      <xdr:nvCxnSpPr>
        <xdr:cNvPr id="990" name="Прямая соединительная линия 989"/>
        <xdr:cNvCxnSpPr/>
      </xdr:nvCxnSpPr>
      <xdr:spPr>
        <a:xfrm flipH="1" flipV="1">
          <a:off x="7366000" y="2184400"/>
          <a:ext cx="22072" cy="646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15722</xdr:colOff>
      <xdr:row>11</xdr:row>
      <xdr:rowOff>84239</xdr:rowOff>
    </xdr:from>
    <xdr:to>
      <xdr:col>12</xdr:col>
      <xdr:colOff>50800</xdr:colOff>
      <xdr:row>11</xdr:row>
      <xdr:rowOff>88900</xdr:rowOff>
    </xdr:to>
    <xdr:cxnSp macro="">
      <xdr:nvCxnSpPr>
        <xdr:cNvPr id="991" name="Прямая соединительная линия 990"/>
        <xdr:cNvCxnSpPr/>
      </xdr:nvCxnSpPr>
      <xdr:spPr>
        <a:xfrm flipH="1" flipV="1">
          <a:off x="7330922" y="2179739"/>
          <a:ext cx="35078" cy="466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596188</xdr:colOff>
      <xdr:row>11</xdr:row>
      <xdr:rowOff>84239</xdr:rowOff>
    </xdr:from>
    <xdr:to>
      <xdr:col>12</xdr:col>
      <xdr:colOff>15722</xdr:colOff>
      <xdr:row>11</xdr:row>
      <xdr:rowOff>85140</xdr:rowOff>
    </xdr:to>
    <xdr:cxnSp macro="">
      <xdr:nvCxnSpPr>
        <xdr:cNvPr id="992" name="Прямая соединительная линия 991"/>
        <xdr:cNvCxnSpPr/>
      </xdr:nvCxnSpPr>
      <xdr:spPr>
        <a:xfrm flipH="1">
          <a:off x="7301788" y="2179739"/>
          <a:ext cx="29134" cy="90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572846</xdr:colOff>
      <xdr:row>11</xdr:row>
      <xdr:rowOff>85140</xdr:rowOff>
    </xdr:from>
    <xdr:to>
      <xdr:col>11</xdr:col>
      <xdr:colOff>596188</xdr:colOff>
      <xdr:row>11</xdr:row>
      <xdr:rowOff>91071</xdr:rowOff>
    </xdr:to>
    <xdr:cxnSp macro="">
      <xdr:nvCxnSpPr>
        <xdr:cNvPr id="993" name="Прямая соединительная линия 992"/>
        <xdr:cNvCxnSpPr/>
      </xdr:nvCxnSpPr>
      <xdr:spPr>
        <a:xfrm flipH="1">
          <a:off x="7278446" y="2180640"/>
          <a:ext cx="23342" cy="593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555142</xdr:colOff>
      <xdr:row>11</xdr:row>
      <xdr:rowOff>91071</xdr:rowOff>
    </xdr:from>
    <xdr:to>
      <xdr:col>11</xdr:col>
      <xdr:colOff>572846</xdr:colOff>
      <xdr:row>11</xdr:row>
      <xdr:rowOff>101498</xdr:rowOff>
    </xdr:to>
    <xdr:cxnSp macro="">
      <xdr:nvCxnSpPr>
        <xdr:cNvPr id="994" name="Прямая соединительная линия 993"/>
        <xdr:cNvCxnSpPr/>
      </xdr:nvCxnSpPr>
      <xdr:spPr>
        <a:xfrm flipH="1">
          <a:off x="7260742" y="2186571"/>
          <a:ext cx="17704" cy="10427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11</xdr:row>
      <xdr:rowOff>101498</xdr:rowOff>
    </xdr:from>
    <xdr:to>
      <xdr:col>11</xdr:col>
      <xdr:colOff>555142</xdr:colOff>
      <xdr:row>11</xdr:row>
      <xdr:rowOff>115887</xdr:rowOff>
    </xdr:to>
    <xdr:cxnSp macro="">
      <xdr:nvCxnSpPr>
        <xdr:cNvPr id="995" name="Прямая соединительная линия 994"/>
        <xdr:cNvCxnSpPr/>
      </xdr:nvCxnSpPr>
      <xdr:spPr>
        <a:xfrm flipH="1">
          <a:off x="7248525" y="2196998"/>
          <a:ext cx="12217" cy="1438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536041</xdr:colOff>
      <xdr:row>11</xdr:row>
      <xdr:rowOff>115887</xdr:rowOff>
    </xdr:from>
    <xdr:to>
      <xdr:col>11</xdr:col>
      <xdr:colOff>542925</xdr:colOff>
      <xdr:row>11</xdr:row>
      <xdr:rowOff>133705</xdr:rowOff>
    </xdr:to>
    <xdr:cxnSp macro="">
      <xdr:nvCxnSpPr>
        <xdr:cNvPr id="996" name="Прямая соединительная линия 995"/>
        <xdr:cNvCxnSpPr/>
      </xdr:nvCxnSpPr>
      <xdr:spPr>
        <a:xfrm flipH="1">
          <a:off x="7241641" y="2211387"/>
          <a:ext cx="6884" cy="1781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534339</xdr:colOff>
      <xdr:row>11</xdr:row>
      <xdr:rowOff>133705</xdr:rowOff>
    </xdr:from>
    <xdr:to>
      <xdr:col>11</xdr:col>
      <xdr:colOff>536041</xdr:colOff>
      <xdr:row>11</xdr:row>
      <xdr:rowOff>154419</xdr:rowOff>
    </xdr:to>
    <xdr:cxnSp macro="">
      <xdr:nvCxnSpPr>
        <xdr:cNvPr id="997" name="Прямая соединительная линия 996"/>
        <xdr:cNvCxnSpPr/>
      </xdr:nvCxnSpPr>
      <xdr:spPr>
        <a:xfrm flipH="1">
          <a:off x="7239939" y="2229205"/>
          <a:ext cx="1702" cy="2071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534339</xdr:colOff>
      <xdr:row>11</xdr:row>
      <xdr:rowOff>154419</xdr:rowOff>
    </xdr:from>
    <xdr:to>
      <xdr:col>11</xdr:col>
      <xdr:colOff>537667</xdr:colOff>
      <xdr:row>11</xdr:row>
      <xdr:rowOff>177495</xdr:rowOff>
    </xdr:to>
    <xdr:cxnSp macro="">
      <xdr:nvCxnSpPr>
        <xdr:cNvPr id="998" name="Прямая соединительная линия 997"/>
        <xdr:cNvCxnSpPr/>
      </xdr:nvCxnSpPr>
      <xdr:spPr>
        <a:xfrm>
          <a:off x="7239939" y="2249919"/>
          <a:ext cx="3328" cy="2307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537667</xdr:colOff>
      <xdr:row>11</xdr:row>
      <xdr:rowOff>177495</xdr:rowOff>
    </xdr:from>
    <xdr:to>
      <xdr:col>11</xdr:col>
      <xdr:colOff>545871</xdr:colOff>
      <xdr:row>12</xdr:row>
      <xdr:rowOff>11899</xdr:rowOff>
    </xdr:to>
    <xdr:cxnSp macro="">
      <xdr:nvCxnSpPr>
        <xdr:cNvPr id="999" name="Прямая соединительная линия 998"/>
        <xdr:cNvCxnSpPr/>
      </xdr:nvCxnSpPr>
      <xdr:spPr>
        <a:xfrm>
          <a:off x="7243267" y="2272995"/>
          <a:ext cx="8204" cy="2490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545871</xdr:colOff>
      <xdr:row>12</xdr:row>
      <xdr:rowOff>11899</xdr:rowOff>
    </xdr:from>
    <xdr:to>
      <xdr:col>11</xdr:col>
      <xdr:colOff>558800</xdr:colOff>
      <xdr:row>12</xdr:row>
      <xdr:rowOff>38100</xdr:rowOff>
    </xdr:to>
    <xdr:cxnSp macro="">
      <xdr:nvCxnSpPr>
        <xdr:cNvPr id="1000" name="Прямая соединительная линия 999"/>
        <xdr:cNvCxnSpPr/>
      </xdr:nvCxnSpPr>
      <xdr:spPr>
        <a:xfrm>
          <a:off x="7251471" y="2297899"/>
          <a:ext cx="12929" cy="2620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558800</xdr:colOff>
      <xdr:row>12</xdr:row>
      <xdr:rowOff>38100</xdr:rowOff>
    </xdr:from>
    <xdr:to>
      <xdr:col>11</xdr:col>
      <xdr:colOff>576300</xdr:colOff>
      <xdr:row>12</xdr:row>
      <xdr:rowOff>65062</xdr:rowOff>
    </xdr:to>
    <xdr:cxnSp macro="">
      <xdr:nvCxnSpPr>
        <xdr:cNvPr id="1001" name="Прямая соединительная линия 1000"/>
        <xdr:cNvCxnSpPr/>
      </xdr:nvCxnSpPr>
      <xdr:spPr>
        <a:xfrm>
          <a:off x="7264400" y="2324100"/>
          <a:ext cx="17500" cy="2696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576300</xdr:colOff>
      <xdr:row>12</xdr:row>
      <xdr:rowOff>65062</xdr:rowOff>
    </xdr:from>
    <xdr:to>
      <xdr:col>11</xdr:col>
      <xdr:colOff>598220</xdr:colOff>
      <xdr:row>12</xdr:row>
      <xdr:rowOff>92252</xdr:rowOff>
    </xdr:to>
    <xdr:cxnSp macro="">
      <xdr:nvCxnSpPr>
        <xdr:cNvPr id="1002" name="Прямая соединительная линия 1001"/>
        <xdr:cNvCxnSpPr/>
      </xdr:nvCxnSpPr>
      <xdr:spPr>
        <a:xfrm>
          <a:off x="7281900" y="2351062"/>
          <a:ext cx="21920" cy="2719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598220</xdr:colOff>
      <xdr:row>12</xdr:row>
      <xdr:rowOff>92252</xdr:rowOff>
    </xdr:from>
    <xdr:to>
      <xdr:col>12</xdr:col>
      <xdr:colOff>14808</xdr:colOff>
      <xdr:row>12</xdr:row>
      <xdr:rowOff>119138</xdr:rowOff>
    </xdr:to>
    <xdr:cxnSp macro="">
      <xdr:nvCxnSpPr>
        <xdr:cNvPr id="1003" name="Прямая соединительная линия 1002"/>
        <xdr:cNvCxnSpPr/>
      </xdr:nvCxnSpPr>
      <xdr:spPr>
        <a:xfrm>
          <a:off x="7303820" y="2378252"/>
          <a:ext cx="26188" cy="2688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14808</xdr:colOff>
      <xdr:row>12</xdr:row>
      <xdr:rowOff>119138</xdr:rowOff>
    </xdr:from>
    <xdr:to>
      <xdr:col>12</xdr:col>
      <xdr:colOff>45110</xdr:colOff>
      <xdr:row>12</xdr:row>
      <xdr:rowOff>145186</xdr:rowOff>
    </xdr:to>
    <xdr:cxnSp macro="">
      <xdr:nvCxnSpPr>
        <xdr:cNvPr id="1004" name="Прямая соединительная линия 1003"/>
        <xdr:cNvCxnSpPr/>
      </xdr:nvCxnSpPr>
      <xdr:spPr>
        <a:xfrm>
          <a:off x="7330008" y="2405138"/>
          <a:ext cx="30302" cy="2604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45110</xdr:colOff>
      <xdr:row>12</xdr:row>
      <xdr:rowOff>145186</xdr:rowOff>
    </xdr:from>
    <xdr:to>
      <xdr:col>12</xdr:col>
      <xdr:colOff>79375</xdr:colOff>
      <xdr:row>12</xdr:row>
      <xdr:rowOff>169862</xdr:rowOff>
    </xdr:to>
    <xdr:cxnSp macro="">
      <xdr:nvCxnSpPr>
        <xdr:cNvPr id="1005" name="Прямая соединительная линия 1004"/>
        <xdr:cNvCxnSpPr/>
      </xdr:nvCxnSpPr>
      <xdr:spPr>
        <a:xfrm>
          <a:off x="7360310" y="2431186"/>
          <a:ext cx="34265" cy="2467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79375</xdr:colOff>
      <xdr:row>12</xdr:row>
      <xdr:rowOff>169862</xdr:rowOff>
    </xdr:from>
    <xdr:to>
      <xdr:col>12</xdr:col>
      <xdr:colOff>117449</xdr:colOff>
      <xdr:row>12</xdr:row>
      <xdr:rowOff>192633</xdr:rowOff>
    </xdr:to>
    <xdr:cxnSp macro="">
      <xdr:nvCxnSpPr>
        <xdr:cNvPr id="1006" name="Прямая соединительная линия 1005"/>
        <xdr:cNvCxnSpPr/>
      </xdr:nvCxnSpPr>
      <xdr:spPr>
        <a:xfrm>
          <a:off x="7394575" y="2455862"/>
          <a:ext cx="38074" cy="2277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117449</xdr:colOff>
      <xdr:row>12</xdr:row>
      <xdr:rowOff>192633</xdr:rowOff>
    </xdr:from>
    <xdr:to>
      <xdr:col>12</xdr:col>
      <xdr:colOff>159181</xdr:colOff>
      <xdr:row>12</xdr:row>
      <xdr:rowOff>212966</xdr:rowOff>
    </xdr:to>
    <xdr:cxnSp macro="">
      <xdr:nvCxnSpPr>
        <xdr:cNvPr id="1007" name="Прямая соединительная линия 1006"/>
        <xdr:cNvCxnSpPr/>
      </xdr:nvCxnSpPr>
      <xdr:spPr>
        <a:xfrm>
          <a:off x="7432649" y="2478633"/>
          <a:ext cx="41732" cy="2033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159181</xdr:colOff>
      <xdr:row>12</xdr:row>
      <xdr:rowOff>212966</xdr:rowOff>
    </xdr:from>
    <xdr:to>
      <xdr:col>12</xdr:col>
      <xdr:colOff>204419</xdr:colOff>
      <xdr:row>12</xdr:row>
      <xdr:rowOff>230327</xdr:rowOff>
    </xdr:to>
    <xdr:cxnSp macro="">
      <xdr:nvCxnSpPr>
        <xdr:cNvPr id="1008" name="Прямая соединительная линия 1007"/>
        <xdr:cNvCxnSpPr/>
      </xdr:nvCxnSpPr>
      <xdr:spPr>
        <a:xfrm>
          <a:off x="7474381" y="2498966"/>
          <a:ext cx="45238" cy="1736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204419</xdr:colOff>
      <xdr:row>12</xdr:row>
      <xdr:rowOff>230327</xdr:rowOff>
    </xdr:from>
    <xdr:to>
      <xdr:col>12</xdr:col>
      <xdr:colOff>253009</xdr:colOff>
      <xdr:row>12</xdr:row>
      <xdr:rowOff>244182</xdr:rowOff>
    </xdr:to>
    <xdr:cxnSp macro="">
      <xdr:nvCxnSpPr>
        <xdr:cNvPr id="1009" name="Прямая соединительная линия 1008"/>
        <xdr:cNvCxnSpPr/>
      </xdr:nvCxnSpPr>
      <xdr:spPr>
        <a:xfrm>
          <a:off x="7519619" y="2516327"/>
          <a:ext cx="48590" cy="1385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253009</xdr:colOff>
      <xdr:row>12</xdr:row>
      <xdr:rowOff>244182</xdr:rowOff>
    </xdr:from>
    <xdr:to>
      <xdr:col>12</xdr:col>
      <xdr:colOff>304800</xdr:colOff>
      <xdr:row>12</xdr:row>
      <xdr:rowOff>254000</xdr:rowOff>
    </xdr:to>
    <xdr:cxnSp macro="">
      <xdr:nvCxnSpPr>
        <xdr:cNvPr id="1010" name="Прямая соединительная линия 1009"/>
        <xdr:cNvCxnSpPr/>
      </xdr:nvCxnSpPr>
      <xdr:spPr>
        <a:xfrm>
          <a:off x="7568209" y="2530182"/>
          <a:ext cx="51791" cy="981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G1:K22"/>
  <sheetViews>
    <sheetView workbookViewId="0">
      <selection activeCell="I4" sqref="I4"/>
    </sheetView>
  </sheetViews>
  <sheetFormatPr defaultRowHeight="15" zeroHeight="1"/>
  <sheetData>
    <row r="1" spans="7:11">
      <c r="K1" t="s">
        <v>61</v>
      </c>
    </row>
    <row r="2" spans="7:11">
      <c r="J2" s="1" t="str">
        <f>CONCATENATE(_XMLbeg,J3,J11,_XMLend)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0.00, 0.00 H 100.00 V  100.00 H 0.00 Z"       id="path10"       inkscape:connector-curvature="0" /&gt;    &lt;path       style="fill:none;stroke:#000000;stroke-width:0.26px;stroke-linecap:butt;stroke-linejoin:miter;stroke-opacity:1"       d="M 25,  25 H 75.00 V  75.00 H 25 Z"       id="path12"       inkscape:connector-curvature="0" /&gt;  &lt;/g&gt;&lt;/svg&gt;</v>
      </c>
    </row>
    <row r="3" spans="7:11">
      <c r="J3" s="3" t="str">
        <f>CONCATENATE(J5,J6,J7,J8,J9)</f>
        <v>&lt;path       style="fill:none;stroke:#000000;stroke-width:0.26px;stroke-linecap:butt;stroke-linejoin:miter;stroke-opacity:1"       d="M 0.00, 0.00 H 100.00 V  100.00 H 0.00 Z"       id="path10"       inkscape:connector-curvature="0" /&gt;</v>
      </c>
    </row>
    <row r="4" spans="7:11">
      <c r="G4" t="s">
        <v>59</v>
      </c>
      <c r="H4" s="4">
        <v>50</v>
      </c>
      <c r="I4" s="4" t="str">
        <f>SUBSTITUTE(TEXT(2*H5+H4,"#,00"),",",".")</f>
        <v>100.00</v>
      </c>
    </row>
    <row r="5" spans="7:11">
      <c r="G5" t="s">
        <v>60</v>
      </c>
      <c r="H5" s="4">
        <v>25</v>
      </c>
      <c r="I5" s="4" t="str">
        <f>SUBSTITUTE(TEXT(H4+H5,"0,00"),",",".")</f>
        <v>75.00</v>
      </c>
      <c r="J5" t="s">
        <v>53</v>
      </c>
    </row>
    <row r="6" spans="7:11">
      <c r="J6" t="s">
        <v>54</v>
      </c>
    </row>
    <row r="7" spans="7:11">
      <c r="J7" t="str">
        <f>"       d=""M 0.00, 0.00 H " &amp; I4 &amp; " V  " &amp; I4 &amp; " H 0.00 Z"""</f>
        <v xml:space="preserve">       d="M 0.00, 0.00 H 100.00 V  100.00 H 0.00 Z"</v>
      </c>
    </row>
    <row r="8" spans="7:11">
      <c r="G8">
        <v>25</v>
      </c>
      <c r="J8" t="s">
        <v>55</v>
      </c>
    </row>
    <row r="9" spans="7:11">
      <c r="J9" t="s">
        <v>56</v>
      </c>
    </row>
    <row r="10" spans="7:11"/>
    <row r="11" spans="7:11">
      <c r="J11" s="3" t="str">
        <f>CONCATENATE(J13,J14,J15,J16,J17)</f>
        <v xml:space="preserve">    &lt;path       style="fill:none;stroke:#000000;stroke-width:0.26px;stroke-linecap:butt;stroke-linejoin:miter;stroke-opacity:1"       d="M 25,  25 H 75.00 V  75.00 H 25 Z"       id="path12"       inkscape:connector-curvature="0" /&gt;</v>
      </c>
    </row>
    <row r="12" spans="7:11"/>
    <row r="13" spans="7:11">
      <c r="J13" t="s">
        <v>57</v>
      </c>
    </row>
    <row r="14" spans="7:11">
      <c r="J14" t="s">
        <v>54</v>
      </c>
    </row>
    <row r="15" spans="7:11">
      <c r="J15" t="str">
        <f>"       d=""M " &amp; H5 &amp; ",  " &amp;  H5 &amp; " H " &amp; I5 &amp; " V  " &amp; I5 &amp; " H " &amp; H5 &amp; " Z"""</f>
        <v xml:space="preserve">       d="M 25,  25 H 75.00 V  75.00 H 25 Z"</v>
      </c>
    </row>
    <row r="16" spans="7:11">
      <c r="J16" t="s">
        <v>58</v>
      </c>
    </row>
    <row r="17" spans="10:10">
      <c r="J17" t="s">
        <v>56</v>
      </c>
    </row>
    <row r="18" spans="10:10"/>
    <row r="19" spans="10:10"/>
    <row r="20" spans="10:10"/>
    <row r="21" spans="10:10"/>
    <row r="22" spans="10:10"/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J1:K29"/>
  <sheetViews>
    <sheetView workbookViewId="0">
      <selection activeCell="J2" sqref="J2"/>
    </sheetView>
  </sheetViews>
  <sheetFormatPr defaultRowHeight="15" zeroHeight="1"/>
  <cols>
    <col min="8" max="8" width="7.42578125" customWidth="1"/>
    <col min="9" max="9" width="1.5703125" customWidth="1"/>
  </cols>
  <sheetData>
    <row r="1" spans="10:11">
      <c r="K1" t="s">
        <v>63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  &lt;/g&gt;&lt;/svg&gt;</v>
      </c>
    </row>
    <row r="3" spans="10:11">
      <c r="J3" t="str">
        <f>J4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5" spans="10:11">
      <c r="J5" t="s">
        <v>53</v>
      </c>
    </row>
    <row r="6" spans="10:11">
      <c r="J6" t="s">
        <v>54</v>
      </c>
    </row>
    <row r="7" spans="10:11">
      <c r="J7" t="s">
        <v>67</v>
      </c>
    </row>
    <row r="8" spans="10:11">
      <c r="J8" t="s">
        <v>64</v>
      </c>
    </row>
    <row r="9" spans="10:11">
      <c r="J9" t="s">
        <v>65</v>
      </c>
    </row>
    <row r="10" spans="10:11">
      <c r="J10" t="s">
        <v>66</v>
      </c>
    </row>
    <row r="11" spans="10:11"/>
    <row r="12" spans="10:11"/>
    <row r="13" spans="10:11"/>
    <row r="14" spans="10:11"/>
    <row r="15" spans="10:11"/>
    <row r="16" spans="10:11"/>
    <row r="17"/>
    <row r="18"/>
    <row r="19"/>
    <row r="20"/>
    <row r="21"/>
    <row r="22"/>
    <row r="23"/>
    <row r="24"/>
    <row r="25"/>
    <row r="26"/>
    <row r="27"/>
    <row r="28"/>
    <row r="29"/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R34"/>
  <sheetViews>
    <sheetView workbookViewId="0">
      <selection activeCell="Q21" sqref="Q21"/>
    </sheetView>
  </sheetViews>
  <sheetFormatPr defaultRowHeight="15" zeroHeight="1"/>
  <cols>
    <col min="18" max="18" width="11.85546875" customWidth="1"/>
  </cols>
  <sheetData>
    <row r="1" spans="10:11">
      <c r="K1" t="s">
        <v>68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  &lt;/g&gt;&lt;/svg&gt;</v>
      </c>
    </row>
    <row r="3" spans="10:11">
      <c r="J3" t="str">
        <f>J4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5" spans="10:11">
      <c r="J5" t="s">
        <v>53</v>
      </c>
    </row>
    <row r="6" spans="10:11">
      <c r="J6" t="s">
        <v>54</v>
      </c>
    </row>
    <row r="7" spans="10:11">
      <c r="J7" t="str">
        <f>CONCATENATE("     d=""","M ",_T00," C ",_T01,_T02,_T03,_T11,_T12,_T13,_T21,_T22,_T23,_T31,_T32,_T33,"""")</f>
        <v xml:space="preserve">     d="M   100.00,0.00 C   87.00,7.00  87.00,11.00  93.00,11.00  97.00,11.00  97.00,14.00  90.00,19.00  83.00,24.00  81.00,23.00  82.00,20.00  83.00,15.00  76.00,18.00  75.00,25.00"</v>
      </c>
    </row>
    <row r="8" spans="10:11">
      <c r="J8" t="s">
        <v>69</v>
      </c>
    </row>
    <row r="9" spans="10:11">
      <c r="J9" t="s">
        <v>65</v>
      </c>
    </row>
    <row r="10" spans="10:11">
      <c r="J10" t="s">
        <v>70</v>
      </c>
    </row>
    <row r="11" spans="10:11"/>
    <row r="12" spans="10:11"/>
    <row r="13" spans="10:11"/>
    <row r="14" spans="10:11"/>
    <row r="15" spans="10:11"/>
    <row r="16" spans="10:11"/>
    <row r="17" spans="1:18"/>
    <row r="18" spans="1:18"/>
    <row r="19" spans="1:18"/>
    <row r="20" spans="1:18">
      <c r="H20">
        <v>100</v>
      </c>
      <c r="I20">
        <v>0</v>
      </c>
      <c r="N20" s="1">
        <v>100</v>
      </c>
      <c r="O20" s="1">
        <v>0</v>
      </c>
      <c r="P20" s="6" t="str">
        <f>SUBSTITUTE(TEXT(N20,"0,00"),",",".")</f>
        <v>100.00</v>
      </c>
      <c r="Q20" s="6" t="str">
        <f>SUBSTITUTE(TEXT(O20,"0,00"),",",".")</f>
        <v>0.00</v>
      </c>
      <c r="R20" s="5" t="str">
        <f>CONCATENATE("  ",P20,",",Q20)</f>
        <v xml:space="preserve">  100.00,0.00</v>
      </c>
    </row>
    <row r="21" spans="1:18">
      <c r="H21" s="1">
        <f>H$20+J21</f>
        <v>87</v>
      </c>
      <c r="I21" s="1">
        <f>I$20+K21</f>
        <v>7</v>
      </c>
      <c r="J21">
        <v>-13</v>
      </c>
      <c r="K21">
        <v>7</v>
      </c>
      <c r="N21">
        <v>87</v>
      </c>
      <c r="O21">
        <v>7</v>
      </c>
      <c r="P21" t="str">
        <f t="shared" ref="P21:P32" si="0">SUBSTITUTE(TEXT(N21,"0,00"),",",".")</f>
        <v>87.00</v>
      </c>
      <c r="Q21" t="str">
        <f t="shared" ref="Q21:Q32" si="1">SUBSTITUTE(TEXT(O21,"0,00"),",",".")</f>
        <v>7.00</v>
      </c>
      <c r="R21" t="str">
        <f>CONCATENATE("  ",P21,",",Q21)</f>
        <v xml:space="preserve">  87.00,7.00</v>
      </c>
    </row>
    <row r="22" spans="1:18">
      <c r="H22" s="1">
        <f t="shared" ref="H22:H23" si="2">H$20+J22</f>
        <v>87</v>
      </c>
      <c r="I22" s="1">
        <f t="shared" ref="I22:I23" si="3">I$20+K22</f>
        <v>11</v>
      </c>
      <c r="J22">
        <v>-13</v>
      </c>
      <c r="K22">
        <v>11</v>
      </c>
      <c r="N22">
        <v>87</v>
      </c>
      <c r="O22">
        <v>11</v>
      </c>
      <c r="P22" t="str">
        <f t="shared" si="0"/>
        <v>87.00</v>
      </c>
      <c r="Q22" t="str">
        <f t="shared" si="1"/>
        <v>11.00</v>
      </c>
      <c r="R22" t="str">
        <f t="shared" ref="R22:R23" si="4">CONCATENATE("  ",P22,",",Q22)</f>
        <v xml:space="preserve">  87.00,11.00</v>
      </c>
    </row>
    <row r="23" spans="1:18">
      <c r="A23" t="s">
        <v>53</v>
      </c>
      <c r="H23" s="1">
        <f t="shared" si="2"/>
        <v>93</v>
      </c>
      <c r="I23" s="1">
        <f t="shared" si="3"/>
        <v>11</v>
      </c>
      <c r="J23">
        <v>-7</v>
      </c>
      <c r="K23">
        <v>11</v>
      </c>
      <c r="N23">
        <v>93</v>
      </c>
      <c r="O23">
        <v>11</v>
      </c>
      <c r="P23" t="str">
        <f t="shared" si="0"/>
        <v>93.00</v>
      </c>
      <c r="Q23" t="str">
        <f t="shared" si="1"/>
        <v>11.00</v>
      </c>
      <c r="R23" t="str">
        <f t="shared" si="4"/>
        <v xml:space="preserve">  93.00,11.00</v>
      </c>
    </row>
    <row r="24" spans="1:18">
      <c r="A24" t="s">
        <v>54</v>
      </c>
      <c r="H24">
        <f>H$23+J24</f>
        <v>97</v>
      </c>
      <c r="I24">
        <f>I$23+K24</f>
        <v>11</v>
      </c>
      <c r="J24">
        <v>4</v>
      </c>
      <c r="K24">
        <v>0</v>
      </c>
      <c r="N24" s="1">
        <v>97</v>
      </c>
      <c r="O24" s="1">
        <v>11</v>
      </c>
      <c r="P24" s="6" t="str">
        <f t="shared" si="0"/>
        <v>97.00</v>
      </c>
      <c r="Q24" s="6" t="str">
        <f t="shared" si="1"/>
        <v>11.00</v>
      </c>
      <c r="R24" s="5" t="str">
        <f>CONCATENATE("  ",P24,",",Q24)</f>
        <v xml:space="preserve">  97.00,11.00</v>
      </c>
    </row>
    <row r="25" spans="1:18">
      <c r="A25" t="s">
        <v>71</v>
      </c>
      <c r="H25">
        <f t="shared" ref="H25:H26" si="5">H$23+J25</f>
        <v>97</v>
      </c>
      <c r="I25">
        <f t="shared" ref="I25:I26" si="6">I$23+K25</f>
        <v>14</v>
      </c>
      <c r="J25">
        <v>4</v>
      </c>
      <c r="K25">
        <v>3</v>
      </c>
      <c r="N25" s="1">
        <v>97</v>
      </c>
      <c r="O25" s="1">
        <v>14</v>
      </c>
      <c r="P25" s="6" t="str">
        <f t="shared" si="0"/>
        <v>97.00</v>
      </c>
      <c r="Q25" s="6" t="str">
        <f t="shared" si="1"/>
        <v>14.00</v>
      </c>
      <c r="R25" s="5" t="str">
        <f t="shared" ref="R25:R32" si="7">CONCATENATE("  ",P25,",",Q25)</f>
        <v xml:space="preserve">  97.00,14.00</v>
      </c>
    </row>
    <row r="26" spans="1:18">
      <c r="A26" t="s">
        <v>69</v>
      </c>
      <c r="H26">
        <f t="shared" si="5"/>
        <v>90</v>
      </c>
      <c r="I26">
        <f t="shared" si="6"/>
        <v>19</v>
      </c>
      <c r="J26">
        <v>-3</v>
      </c>
      <c r="K26">
        <v>8</v>
      </c>
      <c r="N26" s="1">
        <v>90</v>
      </c>
      <c r="O26" s="1">
        <v>19</v>
      </c>
      <c r="P26" s="6" t="str">
        <f t="shared" si="0"/>
        <v>90.00</v>
      </c>
      <c r="Q26" s="6" t="str">
        <f t="shared" si="1"/>
        <v>19.00</v>
      </c>
      <c r="R26" s="5" t="str">
        <f t="shared" si="7"/>
        <v xml:space="preserve">  90.00,19.00</v>
      </c>
    </row>
    <row r="27" spans="1:18">
      <c r="A27" t="s">
        <v>65</v>
      </c>
      <c r="H27" s="1">
        <f>H$26+J27</f>
        <v>83</v>
      </c>
      <c r="I27" s="1">
        <f>I$26+K27</f>
        <v>24</v>
      </c>
      <c r="J27">
        <v>-7</v>
      </c>
      <c r="K27">
        <v>5</v>
      </c>
      <c r="N27">
        <v>83</v>
      </c>
      <c r="O27">
        <v>24</v>
      </c>
      <c r="P27" t="str">
        <f t="shared" si="0"/>
        <v>83.00</v>
      </c>
      <c r="Q27" t="str">
        <f t="shared" si="1"/>
        <v>24.00</v>
      </c>
      <c r="R27" t="str">
        <f t="shared" si="7"/>
        <v xml:space="preserve">  83.00,24.00</v>
      </c>
    </row>
    <row r="28" spans="1:18">
      <c r="A28" t="s">
        <v>70</v>
      </c>
      <c r="H28" s="1">
        <f t="shared" ref="H28:H29" si="8">H$26+J28</f>
        <v>81</v>
      </c>
      <c r="I28" s="1">
        <f t="shared" ref="I28:I29" si="9">I$26+K28</f>
        <v>23</v>
      </c>
      <c r="J28">
        <v>-9</v>
      </c>
      <c r="K28">
        <v>4</v>
      </c>
      <c r="N28">
        <v>81</v>
      </c>
      <c r="O28">
        <v>23</v>
      </c>
      <c r="P28" t="str">
        <f t="shared" si="0"/>
        <v>81.00</v>
      </c>
      <c r="Q28" t="str">
        <f t="shared" si="1"/>
        <v>23.00</v>
      </c>
      <c r="R28" t="str">
        <f t="shared" si="7"/>
        <v xml:space="preserve">  81.00,23.00</v>
      </c>
    </row>
    <row r="29" spans="1:18">
      <c r="H29" s="1">
        <f t="shared" si="8"/>
        <v>82</v>
      </c>
      <c r="I29" s="1">
        <f t="shared" si="9"/>
        <v>20</v>
      </c>
      <c r="J29">
        <v>-8</v>
      </c>
      <c r="K29">
        <v>1</v>
      </c>
      <c r="N29">
        <v>82</v>
      </c>
      <c r="O29">
        <v>20</v>
      </c>
      <c r="P29" t="str">
        <f t="shared" si="0"/>
        <v>82.00</v>
      </c>
      <c r="Q29" t="str">
        <f t="shared" si="1"/>
        <v>20.00</v>
      </c>
      <c r="R29" t="str">
        <f t="shared" si="7"/>
        <v xml:space="preserve">  82.00,20.00</v>
      </c>
    </row>
    <row r="30" spans="1:18">
      <c r="H30">
        <f>H$29+J30</f>
        <v>83</v>
      </c>
      <c r="I30">
        <f>I$29+K30</f>
        <v>15</v>
      </c>
      <c r="J30">
        <v>1</v>
      </c>
      <c r="K30">
        <v>-5</v>
      </c>
      <c r="N30" s="1">
        <v>83</v>
      </c>
      <c r="O30" s="1">
        <v>15</v>
      </c>
      <c r="P30" s="6" t="str">
        <f t="shared" si="0"/>
        <v>83.00</v>
      </c>
      <c r="Q30" s="6" t="str">
        <f t="shared" si="1"/>
        <v>15.00</v>
      </c>
      <c r="R30" s="5" t="str">
        <f t="shared" si="7"/>
        <v xml:space="preserve">  83.00,15.00</v>
      </c>
    </row>
    <row r="31" spans="1:18">
      <c r="H31">
        <f t="shared" ref="H31:H32" si="10">H$29+J31</f>
        <v>76</v>
      </c>
      <c r="I31">
        <f t="shared" ref="I31:I32" si="11">I$29+K31</f>
        <v>18</v>
      </c>
      <c r="J31">
        <v>-6</v>
      </c>
      <c r="K31">
        <v>-2</v>
      </c>
      <c r="N31" s="1">
        <v>76</v>
      </c>
      <c r="O31" s="1">
        <v>18</v>
      </c>
      <c r="P31" s="6" t="str">
        <f t="shared" si="0"/>
        <v>76.00</v>
      </c>
      <c r="Q31" s="6" t="str">
        <f t="shared" si="1"/>
        <v>18.00</v>
      </c>
      <c r="R31" s="5" t="str">
        <f t="shared" si="7"/>
        <v xml:space="preserve">  76.00,18.00</v>
      </c>
    </row>
    <row r="32" spans="1:18">
      <c r="H32">
        <f t="shared" si="10"/>
        <v>75</v>
      </c>
      <c r="I32">
        <f t="shared" si="11"/>
        <v>25</v>
      </c>
      <c r="J32">
        <v>-7</v>
      </c>
      <c r="K32">
        <v>5</v>
      </c>
      <c r="N32" s="1">
        <v>75</v>
      </c>
      <c r="O32" s="1">
        <v>25</v>
      </c>
      <c r="P32" s="6" t="str">
        <f t="shared" si="0"/>
        <v>75.00</v>
      </c>
      <c r="Q32" s="6" t="str">
        <f t="shared" si="1"/>
        <v>25.00</v>
      </c>
      <c r="R32" s="5" t="str">
        <f t="shared" si="7"/>
        <v xml:space="preserve">  75.00,25.00</v>
      </c>
    </row>
    <row r="33"/>
    <row r="34"/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S109"/>
  <sheetViews>
    <sheetView tabSelected="1" zoomScale="98" zoomScaleNormal="98" workbookViewId="0">
      <selection activeCell="J2" sqref="J2"/>
    </sheetView>
  </sheetViews>
  <sheetFormatPr defaultColWidth="9.140625" defaultRowHeight="15" zeroHeight="1"/>
  <cols>
    <col min="1" max="17" width="9.140625" customWidth="1"/>
  </cols>
  <sheetData>
    <row r="1" spans="1:19">
      <c r="R1">
        <v>18</v>
      </c>
    </row>
    <row r="2" spans="1:19"/>
    <row r="3" spans="1:19"/>
    <row r="4" spans="1:19"/>
    <row r="5" spans="1:19">
      <c r="A5" t="s">
        <v>75</v>
      </c>
      <c r="H5" t="s">
        <v>77</v>
      </c>
    </row>
    <row r="6" spans="1:19">
      <c r="A6" t="s">
        <v>72</v>
      </c>
      <c r="H6" t="s">
        <v>78</v>
      </c>
      <c r="P6" t="s">
        <v>95</v>
      </c>
    </row>
    <row r="7" spans="1:19"/>
    <row r="8" spans="1:19">
      <c r="A8" s="8" t="s">
        <v>73</v>
      </c>
      <c r="B8" s="7">
        <v>100</v>
      </c>
      <c r="C8" s="7">
        <v>87</v>
      </c>
      <c r="D8" s="7">
        <v>87</v>
      </c>
      <c r="E8" s="7">
        <v>93</v>
      </c>
      <c r="I8" s="20" t="s">
        <v>93</v>
      </c>
      <c r="J8" s="20"/>
    </row>
    <row r="9" spans="1:19">
      <c r="A9" s="8" t="s">
        <v>74</v>
      </c>
      <c r="B9" s="7">
        <v>0</v>
      </c>
      <c r="C9" s="7">
        <v>7</v>
      </c>
      <c r="D9" s="7">
        <v>11</v>
      </c>
      <c r="E9" s="7">
        <v>11</v>
      </c>
      <c r="I9" s="9" t="s">
        <v>73</v>
      </c>
      <c r="J9" s="9" t="s">
        <v>74</v>
      </c>
    </row>
    <row r="10" spans="1:19">
      <c r="A10" s="9" t="s">
        <v>73</v>
      </c>
      <c r="B10" s="1">
        <v>93</v>
      </c>
      <c r="C10" s="1">
        <v>97</v>
      </c>
      <c r="D10" s="1">
        <v>97</v>
      </c>
      <c r="E10" s="1">
        <v>90</v>
      </c>
      <c r="I10" s="1">
        <v>50</v>
      </c>
      <c r="J10" s="1">
        <v>50</v>
      </c>
    </row>
    <row r="11" spans="1:19">
      <c r="A11" s="9" t="s">
        <v>74</v>
      </c>
      <c r="B11" s="1">
        <v>11</v>
      </c>
      <c r="C11" s="1">
        <v>11</v>
      </c>
      <c r="D11" s="1">
        <v>14</v>
      </c>
      <c r="E11" s="1">
        <v>19</v>
      </c>
    </row>
    <row r="12" spans="1:19">
      <c r="A12" s="10" t="s">
        <v>73</v>
      </c>
      <c r="B12" s="6">
        <v>90</v>
      </c>
      <c r="C12" s="6">
        <v>83</v>
      </c>
      <c r="D12" s="6">
        <v>81</v>
      </c>
      <c r="E12" s="6">
        <v>82</v>
      </c>
      <c r="N12" s="24" t="s">
        <v>91</v>
      </c>
      <c r="O12" s="24"/>
    </row>
    <row r="13" spans="1:19" ht="23.25" customHeight="1">
      <c r="A13" s="10" t="s">
        <v>74</v>
      </c>
      <c r="B13" s="6">
        <v>19</v>
      </c>
      <c r="C13" s="6">
        <v>24</v>
      </c>
      <c r="D13" s="6">
        <v>23</v>
      </c>
      <c r="E13" s="6">
        <v>20</v>
      </c>
      <c r="I13" s="28" t="s">
        <v>92</v>
      </c>
      <c r="J13" s="29"/>
      <c r="K13" s="21" t="s">
        <v>86</v>
      </c>
      <c r="L13" s="22"/>
      <c r="M13" s="23"/>
      <c r="N13" s="26" t="s">
        <v>88</v>
      </c>
      <c r="O13" s="27"/>
      <c r="P13" s="32" t="s">
        <v>94</v>
      </c>
    </row>
    <row r="14" spans="1:19" ht="15" customHeight="1">
      <c r="A14" s="9" t="s">
        <v>73</v>
      </c>
      <c r="B14" s="1">
        <v>82</v>
      </c>
      <c r="C14" s="1">
        <v>83</v>
      </c>
      <c r="D14" s="1">
        <v>76</v>
      </c>
      <c r="E14" s="1">
        <v>75</v>
      </c>
      <c r="I14" s="30"/>
      <c r="J14" s="31"/>
      <c r="K14" s="25" t="s">
        <v>87</v>
      </c>
      <c r="L14" s="24" t="s">
        <v>88</v>
      </c>
      <c r="M14" s="24"/>
      <c r="N14" s="13" t="s">
        <v>90</v>
      </c>
      <c r="O14" s="14" t="s">
        <v>89</v>
      </c>
    </row>
    <row r="15" spans="1:19">
      <c r="A15" s="9" t="s">
        <v>74</v>
      </c>
      <c r="B15" s="1">
        <v>20</v>
      </c>
      <c r="C15" s="1">
        <v>15</v>
      </c>
      <c r="D15" s="1">
        <v>18</v>
      </c>
      <c r="E15" s="1">
        <v>25</v>
      </c>
      <c r="I15" s="14" t="s">
        <v>73</v>
      </c>
      <c r="J15" s="14" t="s">
        <v>74</v>
      </c>
      <c r="K15" s="25"/>
      <c r="L15" s="13" t="s">
        <v>90</v>
      </c>
      <c r="M15" s="14" t="s">
        <v>89</v>
      </c>
      <c r="N15" s="19">
        <f>RADIANS(O15)</f>
        <v>-1.5707963267948966</v>
      </c>
      <c r="O15" s="16">
        <v>-90</v>
      </c>
      <c r="P15" s="14" t="s">
        <v>73</v>
      </c>
      <c r="Q15" s="14" t="s">
        <v>74</v>
      </c>
      <c r="R15" s="14" t="s">
        <v>73</v>
      </c>
      <c r="S15" s="14" t="s">
        <v>74</v>
      </c>
    </row>
    <row r="16" spans="1:19">
      <c r="B16">
        <v>0</v>
      </c>
      <c r="D16" s="4">
        <f>mLib.Bezier(B$8,C$8,D$8,E$8,$B16)</f>
        <v>100</v>
      </c>
      <c r="E16" s="4">
        <f>mLib.Bezier(B$9,C$9,D$9,E$9,$B16)</f>
        <v>0</v>
      </c>
      <c r="F16" s="12"/>
      <c r="G16" s="12"/>
      <c r="I16" s="4">
        <f t="shared" ref="I16:I89" si="0">D16-_cX</f>
        <v>50</v>
      </c>
      <c r="J16" s="4">
        <f t="shared" ref="J16:J89" si="1">E16+_cY</f>
        <v>50</v>
      </c>
      <c r="K16" s="17">
        <f>SQRT(I16^2+J16^2)</f>
        <v>70.710678118654755</v>
      </c>
      <c r="L16">
        <f>ATAN(J16/I16)</f>
        <v>0.78539816339744828</v>
      </c>
      <c r="M16" s="15">
        <f>DEGREES(L16)</f>
        <v>45</v>
      </c>
      <c r="N16" s="18">
        <f t="shared" ref="N16:N89" si="2">L16+_vRD</f>
        <v>-0.78539816339744828</v>
      </c>
      <c r="O16" s="15">
        <f t="shared" ref="O16:O89" si="3">M16+_vGR</f>
        <v>-45</v>
      </c>
      <c r="P16" s="4">
        <f>K16*COS(N16)</f>
        <v>50.000000000000007</v>
      </c>
      <c r="Q16" s="4">
        <f>K16*SIN(N16)</f>
        <v>-50</v>
      </c>
      <c r="R16" s="4">
        <f t="shared" ref="R16:R89" si="4">P16-_cX</f>
        <v>0</v>
      </c>
      <c r="S16" s="4">
        <f t="shared" ref="S16:S89" si="5">Q16+_cY</f>
        <v>0</v>
      </c>
    </row>
    <row r="17" spans="2:19">
      <c r="B17">
        <v>0.05</v>
      </c>
      <c r="D17" s="4">
        <f>mLib.Bezier(B$8,C$8,D$8,E$8,$B17)</f>
        <v>98.146624999999986</v>
      </c>
      <c r="E17" s="4">
        <f t="shared" ref="E17:E26" si="6">mLib.Bezier(B$9,C$9,D$9,E$9,$B17)</f>
        <v>1.0273749999999999</v>
      </c>
      <c r="F17" s="12"/>
      <c r="G17" s="12"/>
      <c r="I17" s="4">
        <f t="shared" si="0"/>
        <v>48.146624999999986</v>
      </c>
      <c r="J17" s="4">
        <f t="shared" si="1"/>
        <v>51.027374999999999</v>
      </c>
      <c r="K17" s="17">
        <f t="shared" ref="K17:K89" si="7">SQRT(I17^2+J17^2)</f>
        <v>70.156186457654954</v>
      </c>
      <c r="L17">
        <f t="shared" ref="L17:L89" si="8">ATAN(J17/I17)</f>
        <v>0.81443742969532362</v>
      </c>
      <c r="M17" s="15">
        <f t="shared" ref="M17:M89" si="9">DEGREES(L17)</f>
        <v>46.663827399024747</v>
      </c>
      <c r="N17" s="18">
        <f t="shared" si="2"/>
        <v>-0.75635889709957294</v>
      </c>
      <c r="O17" s="15">
        <f t="shared" si="3"/>
        <v>-43.336172600975253</v>
      </c>
      <c r="P17" s="4">
        <f t="shared" ref="P17:P89" si="10">K17*COS(N17)</f>
        <v>51.027374999999999</v>
      </c>
      <c r="Q17" s="4">
        <f t="shared" ref="Q17:Q89" si="11">K17*SIN(N17)</f>
        <v>-48.146624999999972</v>
      </c>
      <c r="R17" s="4">
        <f t="shared" si="4"/>
        <v>1.0273749999999993</v>
      </c>
      <c r="S17" s="4">
        <f t="shared" si="5"/>
        <v>1.8533750000000282</v>
      </c>
    </row>
    <row r="18" spans="2:19">
      <c r="B18">
        <v>0.1</v>
      </c>
      <c r="D18" s="4">
        <f t="shared" ref="D18:D26" si="12">mLib.Bezier(B$8,C$8,D$8,E$8,$B18)</f>
        <v>96.483000000000018</v>
      </c>
      <c r="E18" s="4">
        <f t="shared" si="6"/>
        <v>2.0090000000000003</v>
      </c>
      <c r="F18" s="12"/>
      <c r="G18" s="12"/>
      <c r="I18" s="4">
        <f t="shared" si="0"/>
        <v>46.483000000000018</v>
      </c>
      <c r="J18" s="4">
        <f t="shared" si="1"/>
        <v>52.009</v>
      </c>
      <c r="K18" s="17">
        <f t="shared" si="7"/>
        <v>69.753891432664901</v>
      </c>
      <c r="L18">
        <f t="shared" si="8"/>
        <v>0.84144548206008596</v>
      </c>
      <c r="M18" s="15">
        <f t="shared" si="9"/>
        <v>48.211274812393953</v>
      </c>
      <c r="N18" s="18">
        <f t="shared" si="2"/>
        <v>-0.7293508447348106</v>
      </c>
      <c r="O18" s="15">
        <f t="shared" si="3"/>
        <v>-41.788725187606047</v>
      </c>
      <c r="P18" s="4">
        <f t="shared" si="10"/>
        <v>52.009000000000007</v>
      </c>
      <c r="Q18" s="4">
        <f t="shared" si="11"/>
        <v>-46.483000000000018</v>
      </c>
      <c r="R18" s="4">
        <f t="shared" si="4"/>
        <v>2.0090000000000074</v>
      </c>
      <c r="S18" s="4">
        <f t="shared" si="5"/>
        <v>3.5169999999999817</v>
      </c>
    </row>
    <row r="19" spans="2:19">
      <c r="B19">
        <v>0.15</v>
      </c>
      <c r="D19" s="4">
        <f t="shared" si="12"/>
        <v>95.003874999999994</v>
      </c>
      <c r="E19" s="4">
        <f t="shared" si="6"/>
        <v>2.9441249999999997</v>
      </c>
      <c r="F19" s="12"/>
      <c r="G19" s="12"/>
      <c r="I19" s="4">
        <f t="shared" si="0"/>
        <v>45.003874999999994</v>
      </c>
      <c r="J19" s="4">
        <f t="shared" si="1"/>
        <v>52.944125</v>
      </c>
      <c r="K19" s="17">
        <f t="shared" si="7"/>
        <v>69.486899031625015</v>
      </c>
      <c r="L19">
        <f t="shared" si="8"/>
        <v>0.86628725390420336</v>
      </c>
      <c r="M19" s="15">
        <f t="shared" si="9"/>
        <v>49.634603494688797</v>
      </c>
      <c r="N19" s="18">
        <f t="shared" si="2"/>
        <v>-0.7045090728906932</v>
      </c>
      <c r="O19" s="15">
        <f t="shared" si="3"/>
        <v>-40.365396505311203</v>
      </c>
      <c r="P19" s="4">
        <f t="shared" si="10"/>
        <v>52.944125</v>
      </c>
      <c r="Q19" s="4">
        <f t="shared" si="11"/>
        <v>-45.003874999999987</v>
      </c>
      <c r="R19" s="4">
        <f t="shared" si="4"/>
        <v>2.9441249999999997</v>
      </c>
      <c r="S19" s="4">
        <f t="shared" si="5"/>
        <v>4.9961250000000135</v>
      </c>
    </row>
    <row r="20" spans="2:19">
      <c r="B20">
        <v>0.2</v>
      </c>
      <c r="D20" s="4">
        <f t="shared" si="12"/>
        <v>93.704000000000022</v>
      </c>
      <c r="E20" s="4">
        <f t="shared" si="6"/>
        <v>3.8320000000000007</v>
      </c>
      <c r="F20" s="12"/>
      <c r="G20" s="12"/>
      <c r="I20" s="4">
        <f t="shared" si="0"/>
        <v>43.704000000000022</v>
      </c>
      <c r="J20" s="4">
        <f t="shared" si="1"/>
        <v>53.832000000000001</v>
      </c>
      <c r="K20" s="17">
        <f t="shared" si="7"/>
        <v>69.339194111267261</v>
      </c>
      <c r="L20">
        <f t="shared" si="8"/>
        <v>0.88886593062898056</v>
      </c>
      <c r="M20" s="15">
        <f t="shared" si="9"/>
        <v>50.9282663780088</v>
      </c>
      <c r="N20" s="18">
        <f t="shared" si="2"/>
        <v>-0.681930396165916</v>
      </c>
      <c r="O20" s="15">
        <f t="shared" si="3"/>
        <v>-39.0717336219912</v>
      </c>
      <c r="P20" s="4">
        <f t="shared" si="10"/>
        <v>53.831999999999994</v>
      </c>
      <c r="Q20" s="4">
        <f t="shared" si="11"/>
        <v>-43.704000000000015</v>
      </c>
      <c r="R20" s="4">
        <f t="shared" si="4"/>
        <v>3.8319999999999936</v>
      </c>
      <c r="S20" s="4">
        <f t="shared" si="5"/>
        <v>6.2959999999999852</v>
      </c>
    </row>
    <row r="21" spans="2:19">
      <c r="B21">
        <v>0.25</v>
      </c>
      <c r="D21" s="4">
        <f t="shared" si="12"/>
        <v>92.578125</v>
      </c>
      <c r="E21" s="4">
        <f t="shared" si="6"/>
        <v>4.671875</v>
      </c>
      <c r="F21" s="12"/>
      <c r="G21" s="12"/>
      <c r="I21" s="4">
        <f t="shared" si="0"/>
        <v>42.578125</v>
      </c>
      <c r="J21" s="4">
        <f t="shared" si="1"/>
        <v>54.671875</v>
      </c>
      <c r="K21" s="17">
        <f t="shared" si="7"/>
        <v>69.295819820038574</v>
      </c>
      <c r="L21">
        <f t="shared" si="8"/>
        <v>0.90912032173552815</v>
      </c>
      <c r="M21" s="15">
        <f t="shared" si="9"/>
        <v>52.088757505021285</v>
      </c>
      <c r="N21" s="18">
        <f t="shared" si="2"/>
        <v>-0.66167600505936841</v>
      </c>
      <c r="O21" s="15">
        <f t="shared" si="3"/>
        <v>-37.911242494978715</v>
      </c>
      <c r="P21" s="4">
        <f t="shared" si="10"/>
        <v>54.671875000000007</v>
      </c>
      <c r="Q21" s="4">
        <f t="shared" si="11"/>
        <v>-42.578125</v>
      </c>
      <c r="R21" s="4">
        <f t="shared" si="4"/>
        <v>4.6718750000000071</v>
      </c>
      <c r="S21" s="4">
        <f t="shared" si="5"/>
        <v>7.421875</v>
      </c>
    </row>
    <row r="22" spans="2:19">
      <c r="B22">
        <v>0.3</v>
      </c>
      <c r="D22" s="4">
        <f t="shared" si="12"/>
        <v>91.620999999999981</v>
      </c>
      <c r="E22" s="4">
        <f t="shared" si="6"/>
        <v>5.4629999999999992</v>
      </c>
      <c r="F22" s="12"/>
      <c r="G22" s="12"/>
      <c r="I22" s="4">
        <f t="shared" si="0"/>
        <v>41.620999999999981</v>
      </c>
      <c r="J22" s="4">
        <f t="shared" si="1"/>
        <v>55.463000000000001</v>
      </c>
      <c r="K22" s="17">
        <f t="shared" si="7"/>
        <v>69.343002603002404</v>
      </c>
      <c r="L22">
        <f t="shared" si="8"/>
        <v>0.92702121774889024</v>
      </c>
      <c r="M22" s="15">
        <f t="shared" si="9"/>
        <v>53.114403296089492</v>
      </c>
      <c r="N22" s="18">
        <f t="shared" si="2"/>
        <v>-0.64377510904600632</v>
      </c>
      <c r="O22" s="15">
        <f t="shared" si="3"/>
        <v>-36.885596703910508</v>
      </c>
      <c r="P22" s="4">
        <f t="shared" si="10"/>
        <v>55.463000000000001</v>
      </c>
      <c r="Q22" s="4">
        <f t="shared" si="11"/>
        <v>-41.620999999999981</v>
      </c>
      <c r="R22" s="4">
        <f t="shared" si="4"/>
        <v>5.463000000000001</v>
      </c>
      <c r="S22" s="4">
        <f t="shared" si="5"/>
        <v>8.3790000000000191</v>
      </c>
    </row>
    <row r="23" spans="2:19">
      <c r="B23">
        <v>0.35</v>
      </c>
      <c r="D23" s="4">
        <f t="shared" si="12"/>
        <v>90.827375000000004</v>
      </c>
      <c r="E23" s="4">
        <f t="shared" si="6"/>
        <v>6.2046250000000001</v>
      </c>
      <c r="F23" s="12"/>
      <c r="G23" s="12"/>
      <c r="I23" s="4">
        <f t="shared" si="0"/>
        <v>40.827375000000004</v>
      </c>
      <c r="J23" s="4">
        <f t="shared" si="1"/>
        <v>56.204625</v>
      </c>
      <c r="K23" s="17">
        <f t="shared" si="7"/>
        <v>69.46822597980497</v>
      </c>
      <c r="L23">
        <f t="shared" si="8"/>
        <v>0.94256718190521649</v>
      </c>
      <c r="M23" s="15">
        <f t="shared" si="9"/>
        <v>54.005121430708641</v>
      </c>
      <c r="N23" s="18">
        <f t="shared" si="2"/>
        <v>-0.62822914488968007</v>
      </c>
      <c r="O23" s="15">
        <f t="shared" si="3"/>
        <v>-35.994878569291359</v>
      </c>
      <c r="P23" s="4">
        <f t="shared" si="10"/>
        <v>56.204625</v>
      </c>
      <c r="Q23" s="4">
        <f t="shared" si="11"/>
        <v>-40.827374999999996</v>
      </c>
      <c r="R23" s="4">
        <f t="shared" si="4"/>
        <v>6.2046250000000001</v>
      </c>
      <c r="S23" s="4">
        <f t="shared" si="5"/>
        <v>9.1726250000000036</v>
      </c>
    </row>
    <row r="24" spans="2:19">
      <c r="B24">
        <v>0.4</v>
      </c>
      <c r="D24" s="4">
        <f t="shared" si="12"/>
        <v>90.192000000000007</v>
      </c>
      <c r="E24" s="4">
        <f t="shared" si="6"/>
        <v>6.8960000000000008</v>
      </c>
      <c r="F24" s="12"/>
      <c r="G24" s="12"/>
      <c r="I24" s="4">
        <f t="shared" si="0"/>
        <v>40.192000000000007</v>
      </c>
      <c r="J24" s="4">
        <f t="shared" si="1"/>
        <v>56.896000000000001</v>
      </c>
      <c r="K24" s="17">
        <f t="shared" si="7"/>
        <v>69.660258971669066</v>
      </c>
      <c r="L24">
        <f t="shared" si="8"/>
        <v>0.95578015840987163</v>
      </c>
      <c r="M24" s="15">
        <f t="shared" si="9"/>
        <v>54.762169219230898</v>
      </c>
      <c r="N24" s="18">
        <f t="shared" si="2"/>
        <v>-0.61501616838502493</v>
      </c>
      <c r="O24" s="15">
        <f t="shared" si="3"/>
        <v>-35.237830780769102</v>
      </c>
      <c r="P24" s="4">
        <f t="shared" si="10"/>
        <v>56.896000000000001</v>
      </c>
      <c r="Q24" s="4">
        <f t="shared" si="11"/>
        <v>-40.192000000000007</v>
      </c>
      <c r="R24" s="4">
        <f t="shared" si="4"/>
        <v>6.8960000000000008</v>
      </c>
      <c r="S24" s="4">
        <f t="shared" si="5"/>
        <v>9.8079999999999927</v>
      </c>
    </row>
    <row r="25" spans="2:19">
      <c r="B25">
        <v>0.45</v>
      </c>
      <c r="D25" s="4">
        <f t="shared" si="12"/>
        <v>89.709625000000017</v>
      </c>
      <c r="E25" s="4">
        <f t="shared" si="6"/>
        <v>7.5363750000000014</v>
      </c>
      <c r="F25" s="12"/>
      <c r="G25" s="12"/>
      <c r="I25" s="4">
        <f t="shared" si="0"/>
        <v>39.709625000000017</v>
      </c>
      <c r="J25" s="4">
        <f t="shared" si="1"/>
        <v>57.536375</v>
      </c>
      <c r="K25" s="17">
        <f t="shared" si="7"/>
        <v>69.909146510175987</v>
      </c>
      <c r="L25">
        <f t="shared" si="8"/>
        <v>0.96670119058605541</v>
      </c>
      <c r="M25" s="15">
        <f t="shared" si="9"/>
        <v>55.387898270852801</v>
      </c>
      <c r="N25" s="18">
        <f t="shared" si="2"/>
        <v>-0.60409513620884114</v>
      </c>
      <c r="O25" s="15">
        <f t="shared" si="3"/>
        <v>-34.612101729147199</v>
      </c>
      <c r="P25" s="4">
        <f t="shared" si="10"/>
        <v>57.536375000000007</v>
      </c>
      <c r="Q25" s="4">
        <f t="shared" si="11"/>
        <v>-39.709625000000017</v>
      </c>
      <c r="R25" s="4">
        <f t="shared" si="4"/>
        <v>7.5363750000000067</v>
      </c>
      <c r="S25" s="4">
        <f t="shared" si="5"/>
        <v>10.290374999999983</v>
      </c>
    </row>
    <row r="26" spans="2:19">
      <c r="B26">
        <v>0.5</v>
      </c>
      <c r="D26" s="4">
        <f t="shared" si="12"/>
        <v>89.375</v>
      </c>
      <c r="E26" s="4">
        <f t="shared" si="6"/>
        <v>8.125</v>
      </c>
      <c r="F26" s="12"/>
      <c r="G26" s="12"/>
      <c r="I26" s="4">
        <f t="shared" si="0"/>
        <v>39.375</v>
      </c>
      <c r="J26" s="4">
        <f t="shared" si="1"/>
        <v>58.125</v>
      </c>
      <c r="K26" s="17">
        <f t="shared" si="7"/>
        <v>70.20616960068395</v>
      </c>
      <c r="L26">
        <f t="shared" si="8"/>
        <v>0.97538645131616408</v>
      </c>
      <c r="M26" s="15">
        <f t="shared" si="9"/>
        <v>55.885527054658745</v>
      </c>
      <c r="N26" s="18">
        <f t="shared" si="2"/>
        <v>-0.59540987547873248</v>
      </c>
      <c r="O26" s="15">
        <f t="shared" si="3"/>
        <v>-34.114472945341255</v>
      </c>
      <c r="P26" s="4">
        <f t="shared" si="10"/>
        <v>58.125</v>
      </c>
      <c r="Q26" s="4">
        <f t="shared" si="11"/>
        <v>-39.374999999999986</v>
      </c>
      <c r="R26" s="4">
        <f t="shared" si="4"/>
        <v>8.125</v>
      </c>
      <c r="S26" s="4">
        <f t="shared" si="5"/>
        <v>10.625000000000014</v>
      </c>
    </row>
    <row r="27" spans="2:19">
      <c r="B27">
        <v>0.55000000000000004</v>
      </c>
      <c r="D27" s="4">
        <f t="shared" ref="D27:D36" si="13">mLib.Bezier(B$8,C$8,D$8,E$8,$B27)</f>
        <v>89.182874999999996</v>
      </c>
      <c r="E27" s="4">
        <f t="shared" ref="E27:E36" si="14">mLib.Bezier(B$9,C$9,D$9,E$9,$B27)</f>
        <v>8.6611250000000002</v>
      </c>
      <c r="F27" s="12"/>
      <c r="G27" s="12"/>
      <c r="I27" s="4">
        <f t="shared" ref="I27:I36" si="15">D27-_cX</f>
        <v>39.182874999999996</v>
      </c>
      <c r="J27" s="4">
        <f t="shared" ref="J27:J36" si="16">E27+_cY</f>
        <v>58.661124999999998</v>
      </c>
      <c r="K27" s="17">
        <f t="shared" ref="K27:K36" si="17">SQRT(I27^2+J27^2)</f>
        <v>70.543782713512385</v>
      </c>
      <c r="L27">
        <f t="shared" ref="L27:L36" si="18">ATAN(J27/I27)</f>
        <v>0.98190370665998195</v>
      </c>
      <c r="M27" s="15">
        <f t="shared" ref="M27:M36" si="19">DEGREES(L27)</f>
        <v>56.258938279868588</v>
      </c>
      <c r="N27" s="18">
        <f t="shared" ref="N27:N36" si="20">L27+_vRD</f>
        <v>-0.58889262013491461</v>
      </c>
      <c r="O27" s="15">
        <f t="shared" ref="O27:O36" si="21">M27+_vGR</f>
        <v>-33.741061720131412</v>
      </c>
      <c r="P27" s="4">
        <f t="shared" ref="P27:P36" si="22">K27*COS(N27)</f>
        <v>58.661124999999991</v>
      </c>
      <c r="Q27" s="4">
        <f t="shared" ref="Q27:Q36" si="23">K27*SIN(N27)</f>
        <v>-39.182874999999996</v>
      </c>
      <c r="R27" s="4">
        <f t="shared" ref="R27:R36" si="24">P27-_cX</f>
        <v>8.6611249999999913</v>
      </c>
      <c r="S27" s="4">
        <f t="shared" ref="S27:S36" si="25">Q27+_cY</f>
        <v>10.817125000000004</v>
      </c>
    </row>
    <row r="28" spans="2:19">
      <c r="B28">
        <v>0.6</v>
      </c>
      <c r="D28" s="4">
        <f t="shared" si="13"/>
        <v>89.128</v>
      </c>
      <c r="E28" s="4">
        <f t="shared" si="14"/>
        <v>9.1440000000000001</v>
      </c>
      <c r="F28" s="12"/>
      <c r="G28" s="12"/>
      <c r="I28" s="4">
        <f t="shared" si="15"/>
        <v>39.128</v>
      </c>
      <c r="J28" s="4">
        <f t="shared" si="16"/>
        <v>59.143999999999998</v>
      </c>
      <c r="K28" s="17">
        <f t="shared" si="17"/>
        <v>70.915535110439663</v>
      </c>
      <c r="L28">
        <f t="shared" si="18"/>
        <v>0.98632926747822058</v>
      </c>
      <c r="M28" s="15">
        <f t="shared" si="19"/>
        <v>56.512504236732127</v>
      </c>
      <c r="N28" s="18">
        <f t="shared" si="20"/>
        <v>-0.58446705931667597</v>
      </c>
      <c r="O28" s="15">
        <f t="shared" si="21"/>
        <v>-33.487495763267873</v>
      </c>
      <c r="P28" s="4">
        <f t="shared" si="22"/>
        <v>59.144000000000005</v>
      </c>
      <c r="Q28" s="4">
        <f t="shared" si="23"/>
        <v>-39.127999999999993</v>
      </c>
      <c r="R28" s="4">
        <f t="shared" si="24"/>
        <v>9.1440000000000055</v>
      </c>
      <c r="S28" s="4">
        <f t="shared" si="25"/>
        <v>10.872000000000007</v>
      </c>
    </row>
    <row r="29" spans="2:19">
      <c r="B29">
        <v>0.65</v>
      </c>
      <c r="D29" s="4">
        <f t="shared" si="13"/>
        <v>89.205124999999995</v>
      </c>
      <c r="E29" s="4">
        <f t="shared" si="14"/>
        <v>9.5728749999999998</v>
      </c>
      <c r="F29" s="12"/>
      <c r="G29" s="12"/>
      <c r="I29" s="4">
        <f t="shared" si="15"/>
        <v>39.205124999999995</v>
      </c>
      <c r="J29" s="4">
        <f t="shared" si="16"/>
        <v>59.572874999999996</v>
      </c>
      <c r="K29" s="17">
        <f t="shared" si="17"/>
        <v>71.315981813554586</v>
      </c>
      <c r="L29">
        <f t="shared" si="18"/>
        <v>0.98874543493223721</v>
      </c>
      <c r="M29" s="15">
        <f t="shared" si="19"/>
        <v>56.650940434444145</v>
      </c>
      <c r="N29" s="18">
        <f t="shared" si="20"/>
        <v>-0.58205089186265935</v>
      </c>
      <c r="O29" s="15">
        <f t="shared" si="21"/>
        <v>-33.349059565555855</v>
      </c>
      <c r="P29" s="4">
        <f t="shared" si="22"/>
        <v>59.572874999999996</v>
      </c>
      <c r="Q29" s="4">
        <f t="shared" si="23"/>
        <v>-39.205124999999981</v>
      </c>
      <c r="R29" s="4">
        <f t="shared" si="24"/>
        <v>9.5728749999999962</v>
      </c>
      <c r="S29" s="4">
        <f t="shared" si="25"/>
        <v>10.794875000000019</v>
      </c>
    </row>
    <row r="30" spans="2:19">
      <c r="B30">
        <v>0.7</v>
      </c>
      <c r="D30" s="4">
        <f t="shared" si="13"/>
        <v>89.409000000000006</v>
      </c>
      <c r="E30" s="4">
        <f t="shared" si="14"/>
        <v>9.9469999999999992</v>
      </c>
      <c r="F30" s="12"/>
      <c r="G30" s="12"/>
      <c r="I30" s="4">
        <f t="shared" si="15"/>
        <v>39.409000000000006</v>
      </c>
      <c r="J30" s="4">
        <f t="shared" si="16"/>
        <v>59.947000000000003</v>
      </c>
      <c r="K30" s="17">
        <f t="shared" si="17"/>
        <v>71.740588860142495</v>
      </c>
      <c r="L30">
        <f t="shared" si="18"/>
        <v>0.98923841266801293</v>
      </c>
      <c r="M30" s="15">
        <f t="shared" si="19"/>
        <v>56.679185978098012</v>
      </c>
      <c r="N30" s="18">
        <f t="shared" si="20"/>
        <v>-0.58155791412688362</v>
      </c>
      <c r="O30" s="15">
        <f t="shared" si="21"/>
        <v>-33.320814021901988</v>
      </c>
      <c r="P30" s="4">
        <f t="shared" si="22"/>
        <v>59.94700000000001</v>
      </c>
      <c r="Q30" s="4">
        <f t="shared" si="23"/>
        <v>-39.409000000000006</v>
      </c>
      <c r="R30" s="4">
        <f t="shared" si="24"/>
        <v>9.9470000000000098</v>
      </c>
      <c r="S30" s="4">
        <f t="shared" si="25"/>
        <v>10.590999999999994</v>
      </c>
    </row>
    <row r="31" spans="2:19">
      <c r="B31">
        <v>0.75</v>
      </c>
      <c r="D31" s="4">
        <f t="shared" si="13"/>
        <v>89.734375</v>
      </c>
      <c r="E31" s="4">
        <f t="shared" si="14"/>
        <v>10.265625</v>
      </c>
      <c r="F31" s="12"/>
      <c r="G31" s="12"/>
      <c r="I31" s="4">
        <f t="shared" si="15"/>
        <v>39.734375</v>
      </c>
      <c r="J31" s="4">
        <f t="shared" si="16"/>
        <v>60.265625</v>
      </c>
      <c r="K31" s="17">
        <f t="shared" si="17"/>
        <v>72.185636474864239</v>
      </c>
      <c r="L31">
        <f t="shared" si="18"/>
        <v>0.98789663867062982</v>
      </c>
      <c r="M31" s="15">
        <f t="shared" si="19"/>
        <v>56.602307990987562</v>
      </c>
      <c r="N31" s="18">
        <f t="shared" si="20"/>
        <v>-0.58289968812426673</v>
      </c>
      <c r="O31" s="15">
        <f t="shared" si="21"/>
        <v>-33.397692009012438</v>
      </c>
      <c r="P31" s="4">
        <f t="shared" si="22"/>
        <v>60.265625000000007</v>
      </c>
      <c r="Q31" s="4">
        <f t="shared" si="23"/>
        <v>-39.734375</v>
      </c>
      <c r="R31" s="4">
        <f t="shared" si="24"/>
        <v>10.265625000000007</v>
      </c>
      <c r="S31" s="4">
        <f t="shared" si="25"/>
        <v>10.265625</v>
      </c>
    </row>
    <row r="32" spans="2:19">
      <c r="B32">
        <v>0.8</v>
      </c>
      <c r="D32" s="4">
        <f t="shared" si="13"/>
        <v>90.176000000000002</v>
      </c>
      <c r="E32" s="4">
        <f t="shared" si="14"/>
        <v>10.528</v>
      </c>
      <c r="F32" s="12"/>
      <c r="G32" s="12"/>
      <c r="I32" s="4">
        <f t="shared" si="15"/>
        <v>40.176000000000002</v>
      </c>
      <c r="J32" s="4">
        <f t="shared" si="16"/>
        <v>60.527999999999999</v>
      </c>
      <c r="K32" s="17">
        <f t="shared" si="17"/>
        <v>72.648122893850456</v>
      </c>
      <c r="L32">
        <f t="shared" si="18"/>
        <v>0.98480948009199065</v>
      </c>
      <c r="M32" s="15">
        <f t="shared" si="19"/>
        <v>56.425426833743934</v>
      </c>
      <c r="N32" s="18">
        <f t="shared" si="20"/>
        <v>-0.58598684670290591</v>
      </c>
      <c r="O32" s="15">
        <f t="shared" si="21"/>
        <v>-33.574573166256066</v>
      </c>
      <c r="P32" s="4">
        <f t="shared" si="22"/>
        <v>60.527999999999999</v>
      </c>
      <c r="Q32" s="4">
        <f t="shared" si="23"/>
        <v>-40.175999999999995</v>
      </c>
      <c r="R32" s="4">
        <f t="shared" si="24"/>
        <v>10.527999999999999</v>
      </c>
      <c r="S32" s="4">
        <f t="shared" si="25"/>
        <v>9.8240000000000052</v>
      </c>
    </row>
    <row r="33" spans="1:19">
      <c r="B33">
        <v>0.85</v>
      </c>
      <c r="D33" s="4">
        <f t="shared" si="13"/>
        <v>90.728624999999994</v>
      </c>
      <c r="E33" s="4">
        <f t="shared" si="14"/>
        <v>10.733375000000001</v>
      </c>
      <c r="F33" s="12"/>
      <c r="G33" s="12"/>
      <c r="I33" s="4">
        <f t="shared" si="15"/>
        <v>40.728624999999994</v>
      </c>
      <c r="J33" s="4">
        <f t="shared" si="16"/>
        <v>60.733375000000002</v>
      </c>
      <c r="K33" s="17">
        <f t="shared" si="17"/>
        <v>73.125670822777749</v>
      </c>
      <c r="L33">
        <f t="shared" si="18"/>
        <v>0.98006623187046682</v>
      </c>
      <c r="M33" s="15">
        <f t="shared" si="19"/>
        <v>56.153658729467679</v>
      </c>
      <c r="N33" s="18">
        <f t="shared" si="20"/>
        <v>-0.59073009492442974</v>
      </c>
      <c r="O33" s="15">
        <f t="shared" si="21"/>
        <v>-33.846341270532321</v>
      </c>
      <c r="P33" s="4">
        <f t="shared" si="22"/>
        <v>60.733375000000002</v>
      </c>
      <c r="Q33" s="4">
        <f t="shared" si="23"/>
        <v>-40.72862499999998</v>
      </c>
      <c r="R33" s="4">
        <f t="shared" si="24"/>
        <v>10.733375000000002</v>
      </c>
      <c r="S33" s="4">
        <f t="shared" si="25"/>
        <v>9.2713750000000203</v>
      </c>
    </row>
    <row r="34" spans="1:19">
      <c r="B34">
        <v>0.9</v>
      </c>
      <c r="D34" s="4">
        <f t="shared" si="13"/>
        <v>91.387</v>
      </c>
      <c r="E34" s="4">
        <f t="shared" si="14"/>
        <v>10.881</v>
      </c>
      <c r="F34" s="12"/>
      <c r="G34" s="12"/>
      <c r="I34" s="4">
        <f t="shared" si="15"/>
        <v>41.387</v>
      </c>
      <c r="J34" s="4">
        <f t="shared" si="16"/>
        <v>60.881</v>
      </c>
      <c r="K34" s="17">
        <f t="shared" si="17"/>
        <v>73.616437906217655</v>
      </c>
      <c r="L34">
        <f t="shared" si="18"/>
        <v>0.97375536220301551</v>
      </c>
      <c r="M34" s="15">
        <f t="shared" si="19"/>
        <v>55.792072532465596</v>
      </c>
      <c r="N34" s="18">
        <f t="shared" si="20"/>
        <v>-0.59704096459188105</v>
      </c>
      <c r="O34" s="15">
        <f t="shared" si="21"/>
        <v>-34.207927467534404</v>
      </c>
      <c r="P34" s="4">
        <f t="shared" si="22"/>
        <v>60.881</v>
      </c>
      <c r="Q34" s="4">
        <f t="shared" si="23"/>
        <v>-41.386999999999986</v>
      </c>
      <c r="R34" s="4">
        <f t="shared" si="24"/>
        <v>10.881</v>
      </c>
      <c r="S34" s="4">
        <f t="shared" si="25"/>
        <v>8.6130000000000138</v>
      </c>
    </row>
    <row r="35" spans="1:19">
      <c r="B35">
        <v>0.95</v>
      </c>
      <c r="D35" s="4">
        <f t="shared" si="13"/>
        <v>92.145875000000004</v>
      </c>
      <c r="E35" s="4">
        <f t="shared" si="14"/>
        <v>10.970124999999999</v>
      </c>
      <c r="F35" s="12"/>
      <c r="G35" s="12"/>
      <c r="I35" s="4">
        <f t="shared" si="15"/>
        <v>42.145875000000004</v>
      </c>
      <c r="J35" s="4">
        <f t="shared" si="16"/>
        <v>60.970124999999996</v>
      </c>
      <c r="K35" s="17">
        <f t="shared" si="17"/>
        <v>74.119032117474717</v>
      </c>
      <c r="L35">
        <f t="shared" si="18"/>
        <v>0.96596395298233895</v>
      </c>
      <c r="M35" s="15">
        <f t="shared" si="19"/>
        <v>55.345657667661513</v>
      </c>
      <c r="N35" s="18">
        <f t="shared" si="20"/>
        <v>-0.60483237381255761</v>
      </c>
      <c r="O35" s="15">
        <f t="shared" si="21"/>
        <v>-34.654342332338487</v>
      </c>
      <c r="P35" s="4">
        <f t="shared" si="22"/>
        <v>60.970124999999989</v>
      </c>
      <c r="Q35" s="4">
        <f t="shared" si="23"/>
        <v>-42.14587499999999</v>
      </c>
      <c r="R35" s="4">
        <f t="shared" si="24"/>
        <v>10.970124999999989</v>
      </c>
      <c r="S35" s="4">
        <f t="shared" si="25"/>
        <v>7.8541250000000105</v>
      </c>
    </row>
    <row r="36" spans="1:19">
      <c r="B36">
        <v>1</v>
      </c>
      <c r="D36" s="4">
        <f t="shared" si="13"/>
        <v>93</v>
      </c>
      <c r="E36" s="4">
        <f t="shared" si="14"/>
        <v>11</v>
      </c>
      <c r="F36" s="12"/>
      <c r="G36" s="12"/>
      <c r="I36" s="4">
        <f t="shared" si="15"/>
        <v>43</v>
      </c>
      <c r="J36" s="4">
        <f t="shared" si="16"/>
        <v>61</v>
      </c>
      <c r="K36" s="17">
        <f t="shared" si="17"/>
        <v>74.632432628181164</v>
      </c>
      <c r="L36">
        <f t="shared" si="18"/>
        <v>0.95677728978695598</v>
      </c>
      <c r="M36" s="15">
        <f t="shared" si="19"/>
        <v>54.819300638757902</v>
      </c>
      <c r="N36" s="18">
        <f t="shared" si="20"/>
        <v>-0.61401903700794058</v>
      </c>
      <c r="O36" s="15">
        <f t="shared" si="21"/>
        <v>-35.180699361242098</v>
      </c>
      <c r="P36" s="4">
        <f t="shared" si="22"/>
        <v>61.000000000000007</v>
      </c>
      <c r="Q36" s="4">
        <f t="shared" si="23"/>
        <v>-43</v>
      </c>
      <c r="R36" s="4">
        <f t="shared" si="24"/>
        <v>11.000000000000007</v>
      </c>
      <c r="S36" s="4">
        <f t="shared" si="25"/>
        <v>7</v>
      </c>
    </row>
    <row r="37" spans="1:19">
      <c r="A37">
        <v>2</v>
      </c>
      <c r="B37" s="1">
        <v>0</v>
      </c>
      <c r="D37" s="11">
        <f>mLib.Bezier(B$10,C$10,D$10,E$10,$B37)</f>
        <v>93</v>
      </c>
      <c r="E37" s="11">
        <f>mLib.Bezier(B$11,C$11,D$11,E$11,$B37)</f>
        <v>11</v>
      </c>
      <c r="F37" s="12"/>
      <c r="G37" s="12"/>
      <c r="I37" s="4">
        <f t="shared" si="0"/>
        <v>43</v>
      </c>
      <c r="J37" s="4">
        <f t="shared" si="1"/>
        <v>61</v>
      </c>
      <c r="K37" s="17">
        <f t="shared" si="7"/>
        <v>74.632432628181164</v>
      </c>
      <c r="L37">
        <f t="shared" si="8"/>
        <v>0.95677728978695598</v>
      </c>
      <c r="M37" s="15">
        <f t="shared" si="9"/>
        <v>54.819300638757902</v>
      </c>
      <c r="N37" s="18">
        <f t="shared" si="2"/>
        <v>-0.61401903700794058</v>
      </c>
      <c r="O37" s="15">
        <f t="shared" si="3"/>
        <v>-35.180699361242098</v>
      </c>
      <c r="P37" s="4">
        <f t="shared" si="10"/>
        <v>61.000000000000007</v>
      </c>
      <c r="Q37" s="4">
        <f t="shared" si="11"/>
        <v>-43</v>
      </c>
      <c r="R37" s="4">
        <f t="shared" si="4"/>
        <v>11.000000000000007</v>
      </c>
      <c r="S37" s="4">
        <f t="shared" si="5"/>
        <v>7</v>
      </c>
    </row>
    <row r="38" spans="1:19">
      <c r="B38" s="1">
        <v>5.0000000000001002E-2</v>
      </c>
      <c r="D38" s="11">
        <f t="shared" ref="D38:D47" si="26">mLib.Bezier(B$10,C$10,D$10,E$10,$B38)</f>
        <v>93.569625000000002</v>
      </c>
      <c r="E38" s="11">
        <f t="shared" ref="E38:E47" si="27">mLib.Bezier(B$11,C$11,D$11,E$11,$B38)</f>
        <v>11.022375</v>
      </c>
      <c r="F38" s="12"/>
      <c r="G38" s="12"/>
      <c r="I38" s="4">
        <f t="shared" si="0"/>
        <v>43.569625000000002</v>
      </c>
      <c r="J38" s="4">
        <f t="shared" si="1"/>
        <v>61.022374999999997</v>
      </c>
      <c r="K38" s="17">
        <f t="shared" si="7"/>
        <v>74.980280562833656</v>
      </c>
      <c r="L38">
        <f t="shared" si="8"/>
        <v>0.95073986264401322</v>
      </c>
      <c r="M38" s="15">
        <f t="shared" si="9"/>
        <v>54.473381544349557</v>
      </c>
      <c r="N38" s="18">
        <f t="shared" si="2"/>
        <v>-0.62005646415088334</v>
      </c>
      <c r="O38" s="15">
        <f t="shared" si="3"/>
        <v>-35.526618455650443</v>
      </c>
      <c r="P38" s="4">
        <f t="shared" si="10"/>
        <v>61.022375000000004</v>
      </c>
      <c r="Q38" s="4">
        <f t="shared" si="11"/>
        <v>-43.569625000000009</v>
      </c>
      <c r="R38" s="4">
        <f t="shared" si="4"/>
        <v>11.022375000000004</v>
      </c>
      <c r="S38" s="4">
        <f t="shared" si="5"/>
        <v>6.4303749999999908</v>
      </c>
    </row>
    <row r="39" spans="1:19">
      <c r="B39" s="1">
        <v>0.100000000000001</v>
      </c>
      <c r="D39" s="11">
        <f t="shared" si="26"/>
        <v>94.077000000000027</v>
      </c>
      <c r="E39" s="11">
        <f t="shared" si="27"/>
        <v>11.089000000000004</v>
      </c>
      <c r="F39" s="12"/>
      <c r="G39" s="12"/>
      <c r="I39" s="4">
        <f t="shared" si="0"/>
        <v>44.077000000000027</v>
      </c>
      <c r="J39" s="4">
        <f t="shared" si="1"/>
        <v>61.089000000000006</v>
      </c>
      <c r="K39" s="17">
        <f t="shared" si="7"/>
        <v>75.330258528694856</v>
      </c>
      <c r="L39">
        <f t="shared" si="8"/>
        <v>0.9457722446822473</v>
      </c>
      <c r="M39" s="15">
        <f t="shared" si="9"/>
        <v>54.188758000906986</v>
      </c>
      <c r="N39" s="18">
        <f t="shared" si="2"/>
        <v>-0.62502408211264926</v>
      </c>
      <c r="O39" s="15">
        <f t="shared" si="3"/>
        <v>-35.811241999093014</v>
      </c>
      <c r="P39" s="4">
        <f t="shared" si="10"/>
        <v>61.089000000000013</v>
      </c>
      <c r="Q39" s="4">
        <f t="shared" si="11"/>
        <v>-44.077000000000027</v>
      </c>
      <c r="R39" s="4">
        <f t="shared" si="4"/>
        <v>11.089000000000013</v>
      </c>
      <c r="S39" s="4">
        <f t="shared" si="5"/>
        <v>5.9229999999999734</v>
      </c>
    </row>
    <row r="40" spans="1:19">
      <c r="B40" s="1">
        <v>0.15000000000000099</v>
      </c>
      <c r="D40" s="11">
        <f t="shared" si="26"/>
        <v>94.519874999999999</v>
      </c>
      <c r="E40" s="11">
        <f t="shared" si="27"/>
        <v>11.199125000000002</v>
      </c>
      <c r="F40" s="12"/>
      <c r="G40" s="12"/>
      <c r="I40" s="4">
        <f t="shared" si="0"/>
        <v>44.519874999999999</v>
      </c>
      <c r="J40" s="4">
        <f t="shared" si="1"/>
        <v>61.199125000000002</v>
      </c>
      <c r="K40" s="17">
        <f t="shared" si="7"/>
        <v>75.679271737915471</v>
      </c>
      <c r="L40">
        <f t="shared" si="8"/>
        <v>0.94187799726909971</v>
      </c>
      <c r="M40" s="15">
        <f t="shared" si="9"/>
        <v>53.965634059753889</v>
      </c>
      <c r="N40" s="18">
        <f t="shared" si="2"/>
        <v>-0.62891832952579685</v>
      </c>
      <c r="O40" s="15">
        <f t="shared" si="3"/>
        <v>-36.034365940246111</v>
      </c>
      <c r="P40" s="4">
        <f t="shared" si="10"/>
        <v>61.199125000000009</v>
      </c>
      <c r="Q40" s="4">
        <f t="shared" si="11"/>
        <v>-44.519874999999999</v>
      </c>
      <c r="R40" s="4">
        <f t="shared" si="4"/>
        <v>11.199125000000009</v>
      </c>
      <c r="S40" s="4">
        <f t="shared" si="5"/>
        <v>5.480125000000001</v>
      </c>
    </row>
    <row r="41" spans="1:19">
      <c r="B41" s="1">
        <v>0.2</v>
      </c>
      <c r="D41" s="11">
        <f t="shared" si="26"/>
        <v>94.896000000000029</v>
      </c>
      <c r="E41" s="11">
        <f t="shared" si="27"/>
        <v>11.352000000000002</v>
      </c>
      <c r="F41" s="12"/>
      <c r="G41" s="12"/>
      <c r="I41" s="4">
        <f t="shared" si="0"/>
        <v>44.896000000000029</v>
      </c>
      <c r="J41" s="4">
        <f t="shared" si="1"/>
        <v>61.352000000000004</v>
      </c>
      <c r="K41" s="17">
        <f t="shared" si="7"/>
        <v>76.024461326601994</v>
      </c>
      <c r="L41">
        <f t="shared" si="8"/>
        <v>0.93906012389495164</v>
      </c>
      <c r="M41" s="15">
        <f t="shared" si="9"/>
        <v>53.804181808212917</v>
      </c>
      <c r="N41" s="18">
        <f t="shared" si="2"/>
        <v>-0.63173620289994492</v>
      </c>
      <c r="O41" s="15">
        <f t="shared" si="3"/>
        <v>-36.195818191787083</v>
      </c>
      <c r="P41" s="4">
        <f t="shared" si="10"/>
        <v>61.352000000000004</v>
      </c>
      <c r="Q41" s="4">
        <f t="shared" si="11"/>
        <v>-44.896000000000015</v>
      </c>
      <c r="R41" s="4">
        <f t="shared" si="4"/>
        <v>11.352000000000004</v>
      </c>
      <c r="S41" s="4">
        <f t="shared" si="5"/>
        <v>5.103999999999985</v>
      </c>
    </row>
    <row r="42" spans="1:19">
      <c r="B42" s="1">
        <v>0.25</v>
      </c>
      <c r="D42" s="11">
        <f t="shared" si="26"/>
        <v>95.203125</v>
      </c>
      <c r="E42" s="11">
        <f t="shared" si="27"/>
        <v>11.546875</v>
      </c>
      <c r="F42" s="12"/>
      <c r="G42" s="12"/>
      <c r="I42" s="4">
        <f t="shared" si="0"/>
        <v>45.203125</v>
      </c>
      <c r="J42" s="4">
        <f t="shared" si="1"/>
        <v>61.546875</v>
      </c>
      <c r="K42" s="17">
        <f t="shared" si="7"/>
        <v>76.363213211802773</v>
      </c>
      <c r="L42">
        <f t="shared" si="8"/>
        <v>0.93732148320816588</v>
      </c>
      <c r="M42" s="15">
        <f t="shared" si="9"/>
        <v>53.704565034770368</v>
      </c>
      <c r="N42" s="18">
        <f t="shared" si="2"/>
        <v>-0.63347484358673067</v>
      </c>
      <c r="O42" s="15">
        <f t="shared" si="3"/>
        <v>-36.295434965229632</v>
      </c>
      <c r="P42" s="4">
        <f t="shared" si="10"/>
        <v>61.546875</v>
      </c>
      <c r="Q42" s="4">
        <f t="shared" si="11"/>
        <v>-45.203124999999993</v>
      </c>
      <c r="R42" s="4">
        <f t="shared" si="4"/>
        <v>11.546875</v>
      </c>
      <c r="S42" s="4">
        <f t="shared" si="5"/>
        <v>4.7968750000000071</v>
      </c>
    </row>
    <row r="43" spans="1:19">
      <c r="B43" s="1">
        <v>0.3</v>
      </c>
      <c r="D43" s="11">
        <f t="shared" si="26"/>
        <v>95.438999999999979</v>
      </c>
      <c r="E43" s="11">
        <f t="shared" si="27"/>
        <v>11.782999999999998</v>
      </c>
      <c r="F43" s="12"/>
      <c r="G43" s="12"/>
      <c r="I43" s="4">
        <f t="shared" si="0"/>
        <v>45.438999999999979</v>
      </c>
      <c r="J43" s="4">
        <f t="shared" si="1"/>
        <v>61.783000000000001</v>
      </c>
      <c r="K43" s="17">
        <f t="shared" si="7"/>
        <v>76.693166644753944</v>
      </c>
      <c r="L43">
        <f t="shared" si="8"/>
        <v>0.93666515989549703</v>
      </c>
      <c r="M43" s="15">
        <f t="shared" si="9"/>
        <v>53.666960478958394</v>
      </c>
      <c r="N43" s="18">
        <f t="shared" si="2"/>
        <v>-0.63413116689939952</v>
      </c>
      <c r="O43" s="15">
        <f t="shared" si="3"/>
        <v>-36.333039521041606</v>
      </c>
      <c r="P43" s="4">
        <f t="shared" si="10"/>
        <v>61.783000000000008</v>
      </c>
      <c r="Q43" s="4">
        <f t="shared" si="11"/>
        <v>-45.438999999999979</v>
      </c>
      <c r="R43" s="4">
        <f t="shared" si="4"/>
        <v>11.783000000000008</v>
      </c>
      <c r="S43" s="4">
        <f t="shared" si="5"/>
        <v>4.5610000000000213</v>
      </c>
    </row>
    <row r="44" spans="1:19">
      <c r="B44" s="1">
        <v>0.35</v>
      </c>
      <c r="D44" s="11">
        <f t="shared" si="26"/>
        <v>95.601375000000004</v>
      </c>
      <c r="E44" s="11">
        <f t="shared" si="27"/>
        <v>12.059625</v>
      </c>
      <c r="F44" s="12"/>
      <c r="G44" s="12"/>
      <c r="I44" s="4">
        <f t="shared" si="0"/>
        <v>45.601375000000004</v>
      </c>
      <c r="J44" s="4">
        <f t="shared" si="1"/>
        <v>62.059624999999997</v>
      </c>
      <c r="K44" s="17">
        <f t="shared" si="7"/>
        <v>77.012222776850493</v>
      </c>
      <c r="L44">
        <f t="shared" si="8"/>
        <v>0.93709479333793733</v>
      </c>
      <c r="M44" s="15">
        <f t="shared" si="9"/>
        <v>53.691576661947906</v>
      </c>
      <c r="N44" s="18">
        <f t="shared" si="2"/>
        <v>-0.63370153345695923</v>
      </c>
      <c r="O44" s="15">
        <f t="shared" si="3"/>
        <v>-36.308423338052094</v>
      </c>
      <c r="P44" s="4">
        <f t="shared" si="10"/>
        <v>62.059624999999997</v>
      </c>
      <c r="Q44" s="4">
        <f t="shared" si="11"/>
        <v>-45.601375000000004</v>
      </c>
      <c r="R44" s="4">
        <f t="shared" si="4"/>
        <v>12.059624999999997</v>
      </c>
      <c r="S44" s="4">
        <f t="shared" si="5"/>
        <v>4.3986249999999956</v>
      </c>
    </row>
    <row r="45" spans="1:19">
      <c r="B45" s="1">
        <v>0.4</v>
      </c>
      <c r="D45" s="11">
        <f t="shared" si="26"/>
        <v>95.688000000000002</v>
      </c>
      <c r="E45" s="11">
        <f t="shared" si="27"/>
        <v>12.375999999999999</v>
      </c>
      <c r="F45" s="12"/>
      <c r="G45" s="12"/>
      <c r="I45" s="4">
        <f t="shared" si="0"/>
        <v>45.688000000000002</v>
      </c>
      <c r="J45" s="4">
        <f t="shared" si="1"/>
        <v>62.375999999999998</v>
      </c>
      <c r="K45" s="17">
        <f t="shared" si="7"/>
        <v>77.31855353018446</v>
      </c>
      <c r="L45">
        <f t="shared" si="8"/>
        <v>0.93861486446234121</v>
      </c>
      <c r="M45" s="15">
        <f t="shared" si="9"/>
        <v>53.778670321935948</v>
      </c>
      <c r="N45" s="18">
        <f t="shared" si="2"/>
        <v>-0.63218146233255534</v>
      </c>
      <c r="O45" s="15">
        <f t="shared" si="3"/>
        <v>-36.221329678064052</v>
      </c>
      <c r="P45" s="4">
        <f t="shared" si="10"/>
        <v>62.375999999999998</v>
      </c>
      <c r="Q45" s="4">
        <f t="shared" si="11"/>
        <v>-45.687999999999995</v>
      </c>
      <c r="R45" s="4">
        <f t="shared" si="4"/>
        <v>12.375999999999998</v>
      </c>
      <c r="S45" s="4">
        <f t="shared" si="5"/>
        <v>4.3120000000000047</v>
      </c>
    </row>
    <row r="46" spans="1:19">
      <c r="B46" s="1">
        <v>0.45</v>
      </c>
      <c r="D46" s="11">
        <f t="shared" si="26"/>
        <v>95.696625000000012</v>
      </c>
      <c r="E46" s="11">
        <f t="shared" si="27"/>
        <v>12.731375000000002</v>
      </c>
      <c r="F46" s="12"/>
      <c r="G46" s="12"/>
      <c r="I46" s="4">
        <f t="shared" si="0"/>
        <v>45.696625000000012</v>
      </c>
      <c r="J46" s="4">
        <f t="shared" si="1"/>
        <v>62.731375</v>
      </c>
      <c r="K46" s="17">
        <f t="shared" si="7"/>
        <v>77.610611038576749</v>
      </c>
      <c r="L46">
        <f t="shared" si="8"/>
        <v>0.9412309413836295</v>
      </c>
      <c r="M46" s="15">
        <f t="shared" si="9"/>
        <v>53.928560488407349</v>
      </c>
      <c r="N46" s="18">
        <f t="shared" si="2"/>
        <v>-0.62956538541126705</v>
      </c>
      <c r="O46" s="15">
        <f t="shared" si="3"/>
        <v>-36.071439511592651</v>
      </c>
      <c r="P46" s="4">
        <f t="shared" si="10"/>
        <v>62.731375</v>
      </c>
      <c r="Q46" s="4">
        <f t="shared" si="11"/>
        <v>-45.696625000000012</v>
      </c>
      <c r="R46" s="4">
        <f t="shared" si="4"/>
        <v>12.731375</v>
      </c>
      <c r="S46" s="4">
        <f t="shared" si="5"/>
        <v>4.3033749999999884</v>
      </c>
    </row>
    <row r="47" spans="1:19">
      <c r="B47" s="1">
        <v>0.5</v>
      </c>
      <c r="D47" s="11">
        <f t="shared" si="26"/>
        <v>95.625</v>
      </c>
      <c r="E47" s="11">
        <f t="shared" si="27"/>
        <v>13.125</v>
      </c>
      <c r="F47" s="12"/>
      <c r="G47" s="12"/>
      <c r="I47" s="4">
        <f t="shared" si="0"/>
        <v>45.625</v>
      </c>
      <c r="J47" s="4">
        <f t="shared" si="1"/>
        <v>63.125</v>
      </c>
      <c r="K47" s="17">
        <f t="shared" si="7"/>
        <v>77.887137898371904</v>
      </c>
      <c r="L47">
        <f t="shared" si="8"/>
        <v>0.94494988433070815</v>
      </c>
      <c r="M47" s="15">
        <f t="shared" si="9"/>
        <v>54.141640223524895</v>
      </c>
      <c r="N47" s="18">
        <f t="shared" si="2"/>
        <v>-0.62584644246418841</v>
      </c>
      <c r="O47" s="15">
        <f t="shared" si="3"/>
        <v>-35.858359776475105</v>
      </c>
      <c r="P47" s="4">
        <f t="shared" si="10"/>
        <v>63.125000000000007</v>
      </c>
      <c r="Q47" s="4">
        <f t="shared" si="11"/>
        <v>-45.625</v>
      </c>
      <c r="R47" s="4">
        <f t="shared" si="4"/>
        <v>13.125000000000007</v>
      </c>
      <c r="S47" s="4">
        <f t="shared" si="5"/>
        <v>4.375</v>
      </c>
    </row>
    <row r="48" spans="1:19">
      <c r="B48" s="1">
        <v>0.55000000000000004</v>
      </c>
      <c r="D48" s="11">
        <f t="shared" ref="D48:D57" si="28">mLib.Bezier(B$10,C$10,D$10,E$10,$B48)</f>
        <v>95.470874999999992</v>
      </c>
      <c r="E48" s="11">
        <f t="shared" ref="E48:E57" si="29">mLib.Bezier(B$11,C$11,D$11,E$11,$B48)</f>
        <v>13.556125</v>
      </c>
      <c r="F48" s="12"/>
      <c r="G48" s="12"/>
      <c r="I48" s="4">
        <f t="shared" ref="I48:I57" si="30">D48-_cX</f>
        <v>45.470874999999992</v>
      </c>
      <c r="J48" s="4">
        <f t="shared" ref="J48:J57" si="31">E48+_cY</f>
        <v>63.556125000000002</v>
      </c>
      <c r="K48" s="17">
        <f t="shared" ref="K48:K57" si="32">SQRT(I48^2+J48^2)</f>
        <v>78.147178440947243</v>
      </c>
      <c r="L48">
        <f t="shared" ref="L48:L57" si="33">ATAN(J48/I48)</f>
        <v>0.94978001000844325</v>
      </c>
      <c r="M48" s="15">
        <f t="shared" ref="M48:M57" si="34">DEGREES(L48)</f>
        <v>54.418386039376884</v>
      </c>
      <c r="N48" s="18">
        <f t="shared" ref="N48:N57" si="35">L48+_vRD</f>
        <v>-0.6210163167864533</v>
      </c>
      <c r="O48" s="15">
        <f t="shared" ref="O48:O57" si="36">M48+_vGR</f>
        <v>-35.581613960623116</v>
      </c>
      <c r="P48" s="4">
        <f t="shared" ref="P48:P57" si="37">K48*COS(N48)</f>
        <v>63.556125000000009</v>
      </c>
      <c r="Q48" s="4">
        <f t="shared" ref="Q48:Q57" si="38">K48*SIN(N48)</f>
        <v>-45.470874999999985</v>
      </c>
      <c r="R48" s="4">
        <f t="shared" ref="R48:R57" si="39">P48-_cX</f>
        <v>13.556125000000009</v>
      </c>
      <c r="S48" s="4">
        <f t="shared" ref="S48:S57" si="40">Q48+_cY</f>
        <v>4.5291250000000147</v>
      </c>
    </row>
    <row r="49" spans="1:19">
      <c r="B49" s="1">
        <v>0.6</v>
      </c>
      <c r="D49" s="11">
        <f t="shared" si="28"/>
        <v>95.231999999999999</v>
      </c>
      <c r="E49" s="11">
        <f t="shared" si="29"/>
        <v>14.024000000000001</v>
      </c>
      <c r="F49" s="12"/>
      <c r="G49" s="12"/>
      <c r="I49" s="4">
        <f t="shared" si="30"/>
        <v>45.231999999999999</v>
      </c>
      <c r="J49" s="4">
        <f t="shared" si="31"/>
        <v>64.024000000000001</v>
      </c>
      <c r="K49" s="17">
        <f t="shared" si="32"/>
        <v>78.390091210560541</v>
      </c>
      <c r="L49">
        <f t="shared" si="33"/>
        <v>0.9557312150015238</v>
      </c>
      <c r="M49" s="15">
        <f t="shared" si="34"/>
        <v>54.759364968497586</v>
      </c>
      <c r="N49" s="18">
        <f t="shared" si="35"/>
        <v>-0.61506511179337275</v>
      </c>
      <c r="O49" s="15">
        <f t="shared" si="36"/>
        <v>-35.240635031502414</v>
      </c>
      <c r="P49" s="4">
        <f t="shared" si="37"/>
        <v>64.024000000000001</v>
      </c>
      <c r="Q49" s="4">
        <f t="shared" si="38"/>
        <v>-45.231999999999992</v>
      </c>
      <c r="R49" s="4">
        <f t="shared" si="39"/>
        <v>14.024000000000001</v>
      </c>
      <c r="S49" s="4">
        <f t="shared" si="40"/>
        <v>4.7680000000000078</v>
      </c>
    </row>
    <row r="50" spans="1:19">
      <c r="B50" s="1">
        <v>0.65</v>
      </c>
      <c r="D50" s="11">
        <f t="shared" si="28"/>
        <v>94.906125000000003</v>
      </c>
      <c r="E50" s="11">
        <f t="shared" si="29"/>
        <v>14.527875</v>
      </c>
      <c r="F50" s="12"/>
      <c r="G50" s="12"/>
      <c r="I50" s="4">
        <f t="shared" si="30"/>
        <v>44.906125000000003</v>
      </c>
      <c r="J50" s="4">
        <f t="shared" si="31"/>
        <v>64.527874999999995</v>
      </c>
      <c r="K50" s="17">
        <f t="shared" si="32"/>
        <v>78.615562801084423</v>
      </c>
      <c r="L50">
        <f t="shared" si="33"/>
        <v>0.96281505710348636</v>
      </c>
      <c r="M50" s="15">
        <f t="shared" si="34"/>
        <v>55.165239223677119</v>
      </c>
      <c r="N50" s="18">
        <f t="shared" si="35"/>
        <v>-0.6079812696914102</v>
      </c>
      <c r="O50" s="15">
        <f t="shared" si="36"/>
        <v>-34.834760776322881</v>
      </c>
      <c r="P50" s="4">
        <f t="shared" si="37"/>
        <v>64.527874999999995</v>
      </c>
      <c r="Q50" s="4">
        <f t="shared" si="38"/>
        <v>-44.906124999999996</v>
      </c>
      <c r="R50" s="4">
        <f t="shared" si="39"/>
        <v>14.527874999999995</v>
      </c>
      <c r="S50" s="4">
        <f t="shared" si="40"/>
        <v>5.0938750000000041</v>
      </c>
    </row>
    <row r="51" spans="1:19">
      <c r="B51" s="1">
        <v>0.7</v>
      </c>
      <c r="D51" s="11">
        <f t="shared" si="28"/>
        <v>94.491</v>
      </c>
      <c r="E51" s="11">
        <f t="shared" si="29"/>
        <v>15.067</v>
      </c>
      <c r="F51" s="12"/>
      <c r="G51" s="12"/>
      <c r="I51" s="4">
        <f t="shared" si="30"/>
        <v>44.491</v>
      </c>
      <c r="J51" s="4">
        <f t="shared" si="31"/>
        <v>65.067000000000007</v>
      </c>
      <c r="K51" s="17">
        <f t="shared" si="32"/>
        <v>78.82362317224451</v>
      </c>
      <c r="L51">
        <f t="shared" si="33"/>
        <v>0.97104479258296361</v>
      </c>
      <c r="M51" s="15">
        <f t="shared" si="34"/>
        <v>55.636768333160241</v>
      </c>
      <c r="N51" s="18">
        <f t="shared" si="35"/>
        <v>-0.59975153421193295</v>
      </c>
      <c r="O51" s="15">
        <f t="shared" si="36"/>
        <v>-34.363231666839759</v>
      </c>
      <c r="P51" s="4">
        <f t="shared" si="37"/>
        <v>65.067000000000007</v>
      </c>
      <c r="Q51" s="4">
        <f t="shared" si="38"/>
        <v>-44.491</v>
      </c>
      <c r="R51" s="4">
        <f t="shared" si="39"/>
        <v>15.067000000000007</v>
      </c>
      <c r="S51" s="4">
        <f t="shared" si="40"/>
        <v>5.5090000000000003</v>
      </c>
    </row>
    <row r="52" spans="1:19">
      <c r="B52" s="1">
        <v>0.75</v>
      </c>
      <c r="D52" s="11">
        <f t="shared" si="28"/>
        <v>93.984375</v>
      </c>
      <c r="E52" s="11">
        <f t="shared" si="29"/>
        <v>15.640625</v>
      </c>
      <c r="F52" s="12"/>
      <c r="G52" s="12"/>
      <c r="I52" s="4">
        <f t="shared" si="30"/>
        <v>43.984375</v>
      </c>
      <c r="J52" s="4">
        <f t="shared" si="31"/>
        <v>65.640625</v>
      </c>
      <c r="K52" s="17">
        <f t="shared" si="32"/>
        <v>79.014662528743671</v>
      </c>
      <c r="L52">
        <f t="shared" si="33"/>
        <v>0.98043536640642726</v>
      </c>
      <c r="M52" s="15">
        <f t="shared" si="34"/>
        <v>56.174808580450737</v>
      </c>
      <c r="N52" s="18">
        <f t="shared" si="35"/>
        <v>-0.5903609603884693</v>
      </c>
      <c r="O52" s="15">
        <f t="shared" si="36"/>
        <v>-33.825191419549263</v>
      </c>
      <c r="P52" s="4">
        <f t="shared" si="37"/>
        <v>65.640625</v>
      </c>
      <c r="Q52" s="4">
        <f t="shared" si="38"/>
        <v>-43.984374999999993</v>
      </c>
      <c r="R52" s="4">
        <f t="shared" si="39"/>
        <v>15.640625</v>
      </c>
      <c r="S52" s="4">
        <f t="shared" si="40"/>
        <v>6.0156250000000071</v>
      </c>
    </row>
    <row r="53" spans="1:19">
      <c r="B53" s="1">
        <v>0.8</v>
      </c>
      <c r="D53" s="11">
        <f t="shared" si="28"/>
        <v>93.384</v>
      </c>
      <c r="E53" s="11">
        <f t="shared" si="29"/>
        <v>16.248000000000001</v>
      </c>
      <c r="F53" s="12"/>
      <c r="G53" s="12"/>
      <c r="I53" s="4">
        <f t="shared" si="30"/>
        <v>43.384</v>
      </c>
      <c r="J53" s="4">
        <f t="shared" si="31"/>
        <v>66.248000000000005</v>
      </c>
      <c r="K53" s="17">
        <f t="shared" si="32"/>
        <v>79.18944980235689</v>
      </c>
      <c r="L53">
        <f t="shared" si="33"/>
        <v>0.99100335135215267</v>
      </c>
      <c r="M53" s="15">
        <f t="shared" si="34"/>
        <v>56.780309515798592</v>
      </c>
      <c r="N53" s="18">
        <f t="shared" si="35"/>
        <v>-0.57979297544274389</v>
      </c>
      <c r="O53" s="15">
        <f t="shared" si="36"/>
        <v>-33.219690484201408</v>
      </c>
      <c r="P53" s="4">
        <f t="shared" si="37"/>
        <v>66.248000000000019</v>
      </c>
      <c r="Q53" s="4">
        <f t="shared" si="38"/>
        <v>-43.384</v>
      </c>
      <c r="R53" s="4">
        <f t="shared" si="39"/>
        <v>16.248000000000019</v>
      </c>
      <c r="S53" s="4">
        <f t="shared" si="40"/>
        <v>6.6159999999999997</v>
      </c>
    </row>
    <row r="54" spans="1:19">
      <c r="B54" s="1">
        <v>0.85</v>
      </c>
      <c r="D54" s="11">
        <f t="shared" si="28"/>
        <v>92.687624999999997</v>
      </c>
      <c r="E54" s="11">
        <f t="shared" si="29"/>
        <v>16.888375</v>
      </c>
      <c r="F54" s="12"/>
      <c r="G54" s="12"/>
      <c r="I54" s="4">
        <f t="shared" si="30"/>
        <v>42.687624999999997</v>
      </c>
      <c r="J54" s="4">
        <f t="shared" si="31"/>
        <v>66.888374999999996</v>
      </c>
      <c r="K54" s="17">
        <f t="shared" si="32"/>
        <v>79.349152725667139</v>
      </c>
      <c r="L54">
        <f t="shared" si="33"/>
        <v>1.0027668308102566</v>
      </c>
      <c r="M54" s="15">
        <f t="shared" si="34"/>
        <v>57.454307241136789</v>
      </c>
      <c r="N54" s="18">
        <f t="shared" si="35"/>
        <v>-0.56802949598463992</v>
      </c>
      <c r="O54" s="15">
        <f t="shared" si="36"/>
        <v>-32.545692758863211</v>
      </c>
      <c r="P54" s="4">
        <f t="shared" si="37"/>
        <v>66.888374999999996</v>
      </c>
      <c r="Q54" s="4">
        <f t="shared" si="38"/>
        <v>-42.687625000000004</v>
      </c>
      <c r="R54" s="4">
        <f t="shared" si="39"/>
        <v>16.888374999999996</v>
      </c>
      <c r="S54" s="4">
        <f t="shared" si="40"/>
        <v>7.3123749999999959</v>
      </c>
    </row>
    <row r="55" spans="1:19">
      <c r="B55" s="1">
        <v>0.9</v>
      </c>
      <c r="D55" s="11">
        <f>mLib.Bezier(B$10,C$10,D$10,E$10,$B55)</f>
        <v>91.893000000000001</v>
      </c>
      <c r="E55" s="11">
        <f t="shared" si="29"/>
        <v>17.561</v>
      </c>
      <c r="F55" s="12"/>
      <c r="G55" s="12"/>
      <c r="I55" s="4">
        <f t="shared" si="30"/>
        <v>41.893000000000001</v>
      </c>
      <c r="J55" s="4">
        <f t="shared" si="31"/>
        <v>67.561000000000007</v>
      </c>
      <c r="K55" s="17">
        <f t="shared" si="32"/>
        <v>79.495359424308546</v>
      </c>
      <c r="L55">
        <f t="shared" si="33"/>
        <v>1.0157452189161476</v>
      </c>
      <c r="M55" s="15">
        <f t="shared" si="34"/>
        <v>58.197914104487126</v>
      </c>
      <c r="N55" s="18">
        <f t="shared" si="35"/>
        <v>-0.55505110787874901</v>
      </c>
      <c r="O55" s="15">
        <f t="shared" si="36"/>
        <v>-31.802085895512874</v>
      </c>
      <c r="P55" s="4">
        <f t="shared" si="37"/>
        <v>67.561000000000021</v>
      </c>
      <c r="Q55" s="4">
        <f t="shared" si="38"/>
        <v>-41.892999999999994</v>
      </c>
      <c r="R55" s="4">
        <f t="shared" si="39"/>
        <v>17.561000000000021</v>
      </c>
      <c r="S55" s="4">
        <f t="shared" si="40"/>
        <v>8.1070000000000064</v>
      </c>
    </row>
    <row r="56" spans="1:19">
      <c r="B56" s="1">
        <v>0.95</v>
      </c>
      <c r="D56" s="11">
        <f t="shared" si="28"/>
        <v>90.997875000000008</v>
      </c>
      <c r="E56" s="11">
        <f t="shared" si="29"/>
        <v>18.265124999999998</v>
      </c>
      <c r="F56" s="12"/>
      <c r="G56" s="12"/>
      <c r="I56" s="4">
        <f t="shared" si="30"/>
        <v>40.997875000000008</v>
      </c>
      <c r="J56" s="4">
        <f t="shared" si="31"/>
        <v>68.265124999999998</v>
      </c>
      <c r="K56" s="17">
        <f t="shared" si="32"/>
        <v>79.630101379950858</v>
      </c>
      <c r="L56">
        <f t="shared" si="33"/>
        <v>1.0299590105739482</v>
      </c>
      <c r="M56" s="15">
        <f t="shared" si="34"/>
        <v>59.01230437735736</v>
      </c>
      <c r="N56" s="18">
        <f t="shared" si="35"/>
        <v>-0.54083731622094833</v>
      </c>
      <c r="O56" s="15">
        <f t="shared" si="36"/>
        <v>-30.98769562264264</v>
      </c>
      <c r="P56" s="4">
        <f t="shared" si="37"/>
        <v>68.265124999999998</v>
      </c>
      <c r="Q56" s="4">
        <f t="shared" si="38"/>
        <v>-40.997875000000008</v>
      </c>
      <c r="R56" s="4">
        <f t="shared" si="39"/>
        <v>18.265124999999998</v>
      </c>
      <c r="S56" s="4">
        <f t="shared" si="40"/>
        <v>9.0021249999999924</v>
      </c>
    </row>
    <row r="57" spans="1:19">
      <c r="B57" s="1">
        <v>1</v>
      </c>
      <c r="D57" s="11">
        <f t="shared" si="28"/>
        <v>90</v>
      </c>
      <c r="E57" s="11">
        <f t="shared" si="29"/>
        <v>19</v>
      </c>
      <c r="F57" s="12"/>
      <c r="G57" s="12"/>
      <c r="I57" s="4">
        <f t="shared" si="30"/>
        <v>40</v>
      </c>
      <c r="J57" s="4">
        <f t="shared" si="31"/>
        <v>69</v>
      </c>
      <c r="K57" s="17">
        <f t="shared" si="32"/>
        <v>79.755877526361658</v>
      </c>
      <c r="L57">
        <f t="shared" si="33"/>
        <v>1.0454294529795805</v>
      </c>
      <c r="M57" s="15">
        <f t="shared" si="34"/>
        <v>59.898695434400302</v>
      </c>
      <c r="N57" s="18">
        <f t="shared" si="35"/>
        <v>-0.5253668738153161</v>
      </c>
      <c r="O57" s="15">
        <f t="shared" si="36"/>
        <v>-30.101304565599698</v>
      </c>
      <c r="P57" s="4">
        <f t="shared" si="37"/>
        <v>69</v>
      </c>
      <c r="Q57" s="4">
        <f t="shared" si="38"/>
        <v>-39.999999999999993</v>
      </c>
      <c r="R57" s="4">
        <f t="shared" si="39"/>
        <v>19</v>
      </c>
      <c r="S57" s="4">
        <f t="shared" si="40"/>
        <v>10.000000000000007</v>
      </c>
    </row>
    <row r="58" spans="1:19">
      <c r="A58">
        <v>3</v>
      </c>
      <c r="B58">
        <v>0</v>
      </c>
      <c r="D58" s="4">
        <f>mLib.Bezier(B$12,C$12,D$12,E$12,$B58)</f>
        <v>90</v>
      </c>
      <c r="E58" s="4">
        <f>mLib.Bezier(B$13,C$13,D$13,E$13,$B58)</f>
        <v>19</v>
      </c>
      <c r="F58" s="12"/>
      <c r="G58" s="12"/>
      <c r="I58" s="4">
        <f t="shared" si="0"/>
        <v>40</v>
      </c>
      <c r="J58" s="4">
        <f t="shared" si="1"/>
        <v>69</v>
      </c>
      <c r="K58" s="17">
        <f t="shared" si="7"/>
        <v>79.755877526361658</v>
      </c>
      <c r="L58">
        <f t="shared" si="8"/>
        <v>1.0454294529795805</v>
      </c>
      <c r="M58" s="15">
        <f t="shared" si="9"/>
        <v>59.898695434400302</v>
      </c>
      <c r="N58" s="18">
        <f t="shared" si="2"/>
        <v>-0.5253668738153161</v>
      </c>
      <c r="O58" s="15">
        <f t="shared" si="3"/>
        <v>-30.101304565599698</v>
      </c>
      <c r="P58" s="4">
        <f t="shared" si="10"/>
        <v>69</v>
      </c>
      <c r="Q58" s="4">
        <f t="shared" si="11"/>
        <v>-39.999999999999993</v>
      </c>
      <c r="R58" s="4">
        <f t="shared" si="4"/>
        <v>19</v>
      </c>
      <c r="S58" s="4">
        <f t="shared" si="5"/>
        <v>10.000000000000007</v>
      </c>
    </row>
    <row r="59" spans="1:19">
      <c r="B59">
        <v>5.0000000000001002E-2</v>
      </c>
      <c r="D59" s="4">
        <f t="shared" ref="D59:D68" si="41">mLib.Bezier(B$12,C$12,D$12,E$12,$B59)</f>
        <v>88.987249999999975</v>
      </c>
      <c r="E59" s="4">
        <f t="shared" ref="E59:E68" si="42">mLib.Bezier(B$13,C$13,D$13,E$13,$B59)</f>
        <v>19.705500000000011</v>
      </c>
      <c r="F59" s="12"/>
      <c r="G59" s="12"/>
      <c r="I59" s="4">
        <f t="shared" si="0"/>
        <v>38.987249999999975</v>
      </c>
      <c r="J59" s="4">
        <f t="shared" si="1"/>
        <v>69.705500000000015</v>
      </c>
      <c r="K59" s="17">
        <f t="shared" si="7"/>
        <v>79.867780692920846</v>
      </c>
      <c r="L59">
        <f t="shared" si="8"/>
        <v>1.0608305180152056</v>
      </c>
      <c r="M59" s="15">
        <f t="shared" si="9"/>
        <v>60.781111460948125</v>
      </c>
      <c r="N59" s="18">
        <f t="shared" si="2"/>
        <v>-0.509965808779691</v>
      </c>
      <c r="O59" s="15">
        <f t="shared" si="3"/>
        <v>-29.218888539051875</v>
      </c>
      <c r="P59" s="4">
        <f t="shared" si="10"/>
        <v>69.705500000000015</v>
      </c>
      <c r="Q59" s="4">
        <f t="shared" si="11"/>
        <v>-38.987249999999968</v>
      </c>
      <c r="R59" s="4">
        <f t="shared" si="4"/>
        <v>19.705500000000015</v>
      </c>
      <c r="S59" s="4">
        <f t="shared" si="5"/>
        <v>11.012750000000032</v>
      </c>
    </row>
    <row r="60" spans="1:19">
      <c r="B60">
        <v>0.100000000000001</v>
      </c>
      <c r="D60" s="4">
        <f t="shared" si="41"/>
        <v>88.047999999999988</v>
      </c>
      <c r="E60" s="4">
        <f t="shared" si="42"/>
        <v>20.324000000000012</v>
      </c>
      <c r="F60" s="12"/>
      <c r="G60" s="12"/>
      <c r="I60" s="4">
        <f t="shared" si="0"/>
        <v>38.047999999999988</v>
      </c>
      <c r="J60" s="4">
        <f t="shared" si="1"/>
        <v>70.324000000000012</v>
      </c>
      <c r="K60" s="17">
        <f t="shared" si="7"/>
        <v>79.956958921659847</v>
      </c>
      <c r="L60">
        <f t="shared" si="8"/>
        <v>1.0748592771641379</v>
      </c>
      <c r="M60" s="15">
        <f t="shared" si="9"/>
        <v>61.584900151987483</v>
      </c>
      <c r="N60" s="18">
        <f t="shared" si="2"/>
        <v>-0.49593704963075869</v>
      </c>
      <c r="O60" s="15">
        <f t="shared" si="3"/>
        <v>-28.415099848012517</v>
      </c>
      <c r="P60" s="4">
        <f t="shared" si="10"/>
        <v>70.324000000000012</v>
      </c>
      <c r="Q60" s="4">
        <f t="shared" si="11"/>
        <v>-38.047999999999981</v>
      </c>
      <c r="R60" s="4">
        <f t="shared" si="4"/>
        <v>20.324000000000012</v>
      </c>
      <c r="S60" s="4">
        <f t="shared" si="5"/>
        <v>11.952000000000019</v>
      </c>
    </row>
    <row r="61" spans="1:19">
      <c r="B61">
        <v>0.15000000000000099</v>
      </c>
      <c r="D61" s="4">
        <f t="shared" si="41"/>
        <v>87.180749999999975</v>
      </c>
      <c r="E61" s="4">
        <f t="shared" si="42"/>
        <v>20.85850000000001</v>
      </c>
      <c r="F61" s="12"/>
      <c r="G61" s="12"/>
      <c r="I61" s="4">
        <f t="shared" si="0"/>
        <v>37.180749999999975</v>
      </c>
      <c r="J61" s="4">
        <f t="shared" si="1"/>
        <v>70.858500000000006</v>
      </c>
      <c r="K61" s="17">
        <f t="shared" si="7"/>
        <v>80.020842240084548</v>
      </c>
      <c r="L61">
        <f t="shared" si="8"/>
        <v>1.0875702021303191</v>
      </c>
      <c r="M61" s="15">
        <f t="shared" si="9"/>
        <v>62.313182506257135</v>
      </c>
      <c r="N61" s="18">
        <f t="shared" si="2"/>
        <v>-0.48322612466457748</v>
      </c>
      <c r="O61" s="15">
        <f t="shared" si="3"/>
        <v>-27.686817493742865</v>
      </c>
      <c r="P61" s="4">
        <f t="shared" si="10"/>
        <v>70.858500000000006</v>
      </c>
      <c r="Q61" s="4">
        <f t="shared" si="11"/>
        <v>-37.180749999999968</v>
      </c>
      <c r="R61" s="4">
        <f t="shared" si="4"/>
        <v>20.858500000000006</v>
      </c>
      <c r="S61" s="4">
        <f t="shared" si="5"/>
        <v>12.819250000000032</v>
      </c>
    </row>
    <row r="62" spans="1:19">
      <c r="B62">
        <v>0.2</v>
      </c>
      <c r="D62" s="4">
        <f t="shared" si="41"/>
        <v>86.384000000000015</v>
      </c>
      <c r="E62" s="4">
        <f t="shared" si="42"/>
        <v>21.312000000000005</v>
      </c>
      <c r="F62" s="12"/>
      <c r="G62" s="12"/>
      <c r="I62" s="4">
        <f t="shared" si="0"/>
        <v>36.384000000000015</v>
      </c>
      <c r="J62" s="4">
        <f t="shared" si="1"/>
        <v>71.312000000000012</v>
      </c>
      <c r="K62" s="17">
        <f t="shared" si="7"/>
        <v>80.057459365133511</v>
      </c>
      <c r="L62">
        <f t="shared" si="8"/>
        <v>1.0990151824608965</v>
      </c>
      <c r="M62" s="15">
        <f t="shared" si="9"/>
        <v>62.968931575809464</v>
      </c>
      <c r="N62" s="18">
        <f t="shared" si="2"/>
        <v>-0.47178114433400009</v>
      </c>
      <c r="O62" s="15">
        <f t="shared" si="3"/>
        <v>-27.031068424190536</v>
      </c>
      <c r="P62" s="4">
        <f t="shared" si="10"/>
        <v>71.312000000000012</v>
      </c>
      <c r="Q62" s="4">
        <f t="shared" si="11"/>
        <v>-36.384000000000015</v>
      </c>
      <c r="R62" s="4">
        <f t="shared" si="4"/>
        <v>21.312000000000012</v>
      </c>
      <c r="S62" s="4">
        <f t="shared" si="5"/>
        <v>13.615999999999985</v>
      </c>
    </row>
    <row r="63" spans="1:19">
      <c r="B63">
        <v>0.25</v>
      </c>
      <c r="D63" s="4">
        <f t="shared" si="41"/>
        <v>85.65625</v>
      </c>
      <c r="E63" s="4">
        <f t="shared" si="42"/>
        <v>21.6875</v>
      </c>
      <c r="F63" s="12"/>
      <c r="G63" s="12"/>
      <c r="I63" s="4">
        <f t="shared" si="0"/>
        <v>35.65625</v>
      </c>
      <c r="J63" s="4">
        <f t="shared" si="1"/>
        <v>71.6875</v>
      </c>
      <c r="K63" s="17">
        <f t="shared" si="7"/>
        <v>80.065384657244351</v>
      </c>
      <c r="L63">
        <f t="shared" si="8"/>
        <v>1.1092433211193728</v>
      </c>
      <c r="M63" s="15">
        <f t="shared" si="9"/>
        <v>63.554960753214758</v>
      </c>
      <c r="N63" s="18">
        <f t="shared" si="2"/>
        <v>-0.46155300567552371</v>
      </c>
      <c r="O63" s="15">
        <f t="shared" si="3"/>
        <v>-26.445039246785242</v>
      </c>
      <c r="P63" s="4">
        <f t="shared" si="10"/>
        <v>71.6875</v>
      </c>
      <c r="Q63" s="4">
        <f t="shared" si="11"/>
        <v>-35.656249999999993</v>
      </c>
      <c r="R63" s="4">
        <f t="shared" si="4"/>
        <v>21.6875</v>
      </c>
      <c r="S63" s="4">
        <f t="shared" si="5"/>
        <v>14.343750000000007</v>
      </c>
    </row>
    <row r="64" spans="1:19">
      <c r="B64">
        <v>0.3</v>
      </c>
      <c r="D64" s="4">
        <f t="shared" si="41"/>
        <v>84.995999999999981</v>
      </c>
      <c r="E64" s="4">
        <f t="shared" si="42"/>
        <v>21.987999999999996</v>
      </c>
      <c r="F64" s="12"/>
      <c r="G64" s="12"/>
      <c r="I64" s="4">
        <f t="shared" si="0"/>
        <v>34.995999999999981</v>
      </c>
      <c r="J64" s="4">
        <f t="shared" si="1"/>
        <v>71.988</v>
      </c>
      <c r="K64" s="17">
        <f t="shared" si="7"/>
        <v>80.043689070407027</v>
      </c>
      <c r="L64">
        <f t="shared" si="8"/>
        <v>1.1183008379690382</v>
      </c>
      <c r="M64" s="15">
        <f t="shared" si="9"/>
        <v>64.073918241569217</v>
      </c>
      <c r="N64" s="18">
        <f t="shared" si="2"/>
        <v>-0.45249548882585833</v>
      </c>
      <c r="O64" s="15">
        <f t="shared" si="3"/>
        <v>-25.926081758430783</v>
      </c>
      <c r="P64" s="4">
        <f t="shared" si="10"/>
        <v>71.988</v>
      </c>
      <c r="Q64" s="4">
        <f t="shared" si="11"/>
        <v>-34.995999999999967</v>
      </c>
      <c r="R64" s="4">
        <f t="shared" si="4"/>
        <v>21.988</v>
      </c>
      <c r="S64" s="4">
        <f t="shared" si="5"/>
        <v>15.004000000000033</v>
      </c>
    </row>
    <row r="65" spans="1:19">
      <c r="B65">
        <v>0.35</v>
      </c>
      <c r="D65" s="4">
        <f t="shared" si="41"/>
        <v>84.401749999999993</v>
      </c>
      <c r="E65" s="4">
        <f t="shared" si="42"/>
        <v>22.2165</v>
      </c>
      <c r="F65" s="12"/>
      <c r="G65" s="12"/>
      <c r="I65" s="4">
        <f t="shared" si="0"/>
        <v>34.401749999999993</v>
      </c>
      <c r="J65" s="4">
        <f t="shared" si="1"/>
        <v>72.216499999999996</v>
      </c>
      <c r="K65" s="17">
        <f t="shared" si="7"/>
        <v>79.991895060140308</v>
      </c>
      <c r="L65">
        <f t="shared" si="8"/>
        <v>1.1262310590328117</v>
      </c>
      <c r="M65" s="15">
        <f t="shared" si="9"/>
        <v>64.528286439129189</v>
      </c>
      <c r="N65" s="18">
        <f t="shared" si="2"/>
        <v>-0.44456526776208483</v>
      </c>
      <c r="O65" s="15">
        <f t="shared" si="3"/>
        <v>-25.471713560870811</v>
      </c>
      <c r="P65" s="4">
        <f t="shared" si="10"/>
        <v>72.216499999999996</v>
      </c>
      <c r="Q65" s="4">
        <f t="shared" si="11"/>
        <v>-34.401749999999993</v>
      </c>
      <c r="R65" s="4">
        <f t="shared" si="4"/>
        <v>22.216499999999996</v>
      </c>
      <c r="S65" s="4">
        <f t="shared" si="5"/>
        <v>15.598250000000007</v>
      </c>
    </row>
    <row r="66" spans="1:19">
      <c r="B66">
        <v>0.4</v>
      </c>
      <c r="D66" s="4">
        <f t="shared" si="41"/>
        <v>83.872</v>
      </c>
      <c r="E66" s="4">
        <f t="shared" si="42"/>
        <v>22.376000000000001</v>
      </c>
      <c r="F66" s="12"/>
      <c r="G66" s="12"/>
      <c r="I66" s="4">
        <f t="shared" si="0"/>
        <v>33.872</v>
      </c>
      <c r="J66" s="4">
        <f t="shared" si="1"/>
        <v>72.376000000000005</v>
      </c>
      <c r="K66" s="17">
        <f t="shared" si="7"/>
        <v>79.909935302188799</v>
      </c>
      <c r="L66">
        <f t="shared" si="8"/>
        <v>1.1330744733584062</v>
      </c>
      <c r="M66" s="15">
        <f t="shared" si="9"/>
        <v>64.920385197445114</v>
      </c>
      <c r="N66" s="18">
        <f t="shared" si="2"/>
        <v>-0.43772185343649039</v>
      </c>
      <c r="O66" s="15">
        <f t="shared" si="3"/>
        <v>-25.079614802554886</v>
      </c>
      <c r="P66" s="4">
        <f t="shared" si="10"/>
        <v>72.376000000000005</v>
      </c>
      <c r="Q66" s="4">
        <f t="shared" si="11"/>
        <v>-33.871999999999986</v>
      </c>
      <c r="R66" s="4">
        <f t="shared" si="4"/>
        <v>22.376000000000005</v>
      </c>
      <c r="S66" s="4">
        <f t="shared" si="5"/>
        <v>16.128000000000014</v>
      </c>
    </row>
    <row r="67" spans="1:19">
      <c r="B67">
        <v>0.45</v>
      </c>
      <c r="D67" s="4">
        <f t="shared" si="41"/>
        <v>83.405250000000009</v>
      </c>
      <c r="E67" s="4">
        <f t="shared" si="42"/>
        <v>22.469500000000004</v>
      </c>
      <c r="F67" s="12"/>
      <c r="G67" s="12"/>
      <c r="I67" s="4">
        <f t="shared" si="0"/>
        <v>33.405250000000009</v>
      </c>
      <c r="J67" s="4">
        <f t="shared" si="1"/>
        <v>72.469500000000011</v>
      </c>
      <c r="K67" s="17">
        <f t="shared" si="7"/>
        <v>79.798115001624581</v>
      </c>
      <c r="L67">
        <f t="shared" si="8"/>
        <v>1.1388688428196314</v>
      </c>
      <c r="M67" s="15">
        <f t="shared" si="9"/>
        <v>65.252378112512815</v>
      </c>
      <c r="N67" s="18">
        <f t="shared" si="2"/>
        <v>-0.43192748397526515</v>
      </c>
      <c r="O67" s="15">
        <f t="shared" si="3"/>
        <v>-24.747621887487185</v>
      </c>
      <c r="P67" s="4">
        <f t="shared" si="10"/>
        <v>72.469500000000011</v>
      </c>
      <c r="Q67" s="4">
        <f t="shared" si="11"/>
        <v>-33.405249999999995</v>
      </c>
      <c r="R67" s="4">
        <f t="shared" si="4"/>
        <v>22.469500000000011</v>
      </c>
      <c r="S67" s="4">
        <f t="shared" si="5"/>
        <v>16.594750000000005</v>
      </c>
    </row>
    <row r="68" spans="1:19">
      <c r="B68">
        <v>0.5</v>
      </c>
      <c r="D68" s="4">
        <f t="shared" si="41"/>
        <v>83</v>
      </c>
      <c r="E68" s="4">
        <f t="shared" si="42"/>
        <v>22.5</v>
      </c>
      <c r="F68" s="12"/>
      <c r="G68" s="12"/>
      <c r="I68" s="4">
        <f t="shared" si="0"/>
        <v>33</v>
      </c>
      <c r="J68" s="4">
        <f t="shared" si="1"/>
        <v>72.5</v>
      </c>
      <c r="K68" s="17">
        <f t="shared" si="7"/>
        <v>79.65707752610561</v>
      </c>
      <c r="L68">
        <f t="shared" si="8"/>
        <v>1.1436493531952689</v>
      </c>
      <c r="M68" s="15">
        <f t="shared" si="9"/>
        <v>65.526281180955337</v>
      </c>
      <c r="N68" s="18">
        <f t="shared" si="2"/>
        <v>-0.42714697359962761</v>
      </c>
      <c r="O68" s="15">
        <f t="shared" si="3"/>
        <v>-24.473718819044663</v>
      </c>
      <c r="P68" s="4">
        <f t="shared" si="10"/>
        <v>72.5</v>
      </c>
      <c r="Q68" s="4">
        <f t="shared" si="11"/>
        <v>-33</v>
      </c>
      <c r="R68" s="4">
        <f t="shared" si="4"/>
        <v>22.5</v>
      </c>
      <c r="S68" s="4">
        <f t="shared" si="5"/>
        <v>17</v>
      </c>
    </row>
    <row r="69" spans="1:19">
      <c r="B69">
        <v>0.55000000000000004</v>
      </c>
      <c r="D69" s="4">
        <f t="shared" ref="D69:D78" si="43">mLib.Bezier(B$12,C$12,D$12,E$12,$B69)</f>
        <v>82.654749999999993</v>
      </c>
      <c r="E69" s="4">
        <f t="shared" ref="E69:E78" si="44">mLib.Bezier(B$13,C$13,D$13,E$13,$B69)</f>
        <v>22.470500000000001</v>
      </c>
      <c r="F69" s="12"/>
      <c r="G69" s="12"/>
      <c r="I69" s="4">
        <f t="shared" ref="I69:I78" si="45">D69-_cX</f>
        <v>32.654749999999993</v>
      </c>
      <c r="J69" s="4">
        <f t="shared" ref="J69:J78" si="46">E69+_cY</f>
        <v>72.470500000000001</v>
      </c>
      <c r="K69" s="17">
        <f t="shared" ref="K69:K78" si="47">SQRT(I69^2+J69^2)</f>
        <v>79.487773071161698</v>
      </c>
      <c r="L69">
        <f t="shared" ref="L69:L78" si="48">ATAN(J69/I69)</f>
        <v>1.1474487973964791</v>
      </c>
      <c r="M69" s="15">
        <f t="shared" ref="M69:M78" si="49">DEGREES(L69)</f>
        <v>65.743973298180137</v>
      </c>
      <c r="N69" s="18">
        <f t="shared" ref="N69:N78" si="50">L69+_vRD</f>
        <v>-0.42334752939841747</v>
      </c>
      <c r="O69" s="15">
        <f t="shared" ref="O69:O78" si="51">M69+_vGR</f>
        <v>-24.256026701819863</v>
      </c>
      <c r="P69" s="4">
        <f t="shared" ref="P69:P78" si="52">K69*COS(N69)</f>
        <v>72.470499999999987</v>
      </c>
      <c r="Q69" s="4">
        <f t="shared" ref="Q69:Q78" si="53">K69*SIN(N69)</f>
        <v>-32.654749999999993</v>
      </c>
      <c r="R69" s="4">
        <f t="shared" ref="R69:R78" si="54">P69-_cX</f>
        <v>22.470499999999987</v>
      </c>
      <c r="S69" s="4">
        <f t="shared" ref="S69:S78" si="55">Q69+_cY</f>
        <v>17.345250000000007</v>
      </c>
    </row>
    <row r="70" spans="1:19">
      <c r="B70">
        <v>0.6</v>
      </c>
      <c r="D70" s="4">
        <f t="shared" si="43"/>
        <v>82.368000000000009</v>
      </c>
      <c r="E70" s="4">
        <f t="shared" si="44"/>
        <v>22.384</v>
      </c>
      <c r="F70" s="12"/>
      <c r="G70" s="12"/>
      <c r="I70" s="4">
        <f t="shared" si="45"/>
        <v>32.368000000000009</v>
      </c>
      <c r="J70" s="4">
        <f t="shared" si="46"/>
        <v>72.384</v>
      </c>
      <c r="K70" s="17">
        <f t="shared" si="47"/>
        <v>79.291430053947195</v>
      </c>
      <c r="L70">
        <f t="shared" si="48"/>
        <v>1.1502977837950354</v>
      </c>
      <c r="M70" s="15">
        <f t="shared" si="49"/>
        <v>65.907208194707593</v>
      </c>
      <c r="N70" s="18">
        <f t="shared" si="50"/>
        <v>-0.42049854299986111</v>
      </c>
      <c r="O70" s="15">
        <f t="shared" si="51"/>
        <v>-24.092791805292407</v>
      </c>
      <c r="P70" s="4">
        <f t="shared" si="52"/>
        <v>72.384</v>
      </c>
      <c r="Q70" s="4">
        <f t="shared" si="53"/>
        <v>-32.368000000000002</v>
      </c>
      <c r="R70" s="4">
        <f t="shared" si="54"/>
        <v>22.384</v>
      </c>
      <c r="S70" s="4">
        <f t="shared" si="55"/>
        <v>17.631999999999998</v>
      </c>
    </row>
    <row r="71" spans="1:19">
      <c r="B71">
        <v>0.65</v>
      </c>
      <c r="D71" s="4">
        <f t="shared" si="43"/>
        <v>82.138249999999999</v>
      </c>
      <c r="E71" s="4">
        <f t="shared" si="44"/>
        <v>22.243500000000001</v>
      </c>
      <c r="F71" s="12"/>
      <c r="G71" s="12"/>
      <c r="I71" s="4">
        <f t="shared" si="45"/>
        <v>32.138249999999999</v>
      </c>
      <c r="J71" s="4">
        <f t="shared" si="46"/>
        <v>72.243499999999997</v>
      </c>
      <c r="K71" s="17">
        <f t="shared" si="47"/>
        <v>79.069528930634831</v>
      </c>
      <c r="L71">
        <f t="shared" si="48"/>
        <v>1.1522249642810514</v>
      </c>
      <c r="M71" s="15">
        <f t="shared" si="49"/>
        <v>66.01762750291627</v>
      </c>
      <c r="N71" s="18">
        <f t="shared" si="50"/>
        <v>-0.41857136251384519</v>
      </c>
      <c r="O71" s="15">
        <f t="shared" si="51"/>
        <v>-23.98237249708373</v>
      </c>
      <c r="P71" s="4">
        <f t="shared" si="52"/>
        <v>72.243499999999997</v>
      </c>
      <c r="Q71" s="4">
        <f t="shared" si="53"/>
        <v>-32.138249999999999</v>
      </c>
      <c r="R71" s="4">
        <f t="shared" si="54"/>
        <v>22.243499999999997</v>
      </c>
      <c r="S71" s="4">
        <f t="shared" si="55"/>
        <v>17.861750000000001</v>
      </c>
    </row>
    <row r="72" spans="1:19">
      <c r="B72">
        <v>0.7</v>
      </c>
      <c r="D72" s="4">
        <f t="shared" si="43"/>
        <v>81.963999999999999</v>
      </c>
      <c r="E72" s="4">
        <f t="shared" si="44"/>
        <v>22.052</v>
      </c>
      <c r="F72" s="12"/>
      <c r="G72" s="12"/>
      <c r="I72" s="4">
        <f t="shared" si="45"/>
        <v>31.963999999999999</v>
      </c>
      <c r="J72" s="4">
        <f t="shared" si="46"/>
        <v>72.051999999999992</v>
      </c>
      <c r="K72" s="17">
        <f t="shared" si="47"/>
        <v>78.823778138325736</v>
      </c>
      <c r="L72">
        <f t="shared" si="48"/>
        <v>1.1532572779962726</v>
      </c>
      <c r="M72" s="15">
        <f t="shared" si="49"/>
        <v>66.076774721931926</v>
      </c>
      <c r="N72" s="18">
        <f t="shared" si="50"/>
        <v>-0.41753904879862391</v>
      </c>
      <c r="O72" s="15">
        <f t="shared" si="51"/>
        <v>-23.923225278068074</v>
      </c>
      <c r="P72" s="4">
        <f t="shared" si="52"/>
        <v>72.051999999999992</v>
      </c>
      <c r="Q72" s="4">
        <f t="shared" si="53"/>
        <v>-31.963999999999992</v>
      </c>
      <c r="R72" s="4">
        <f t="shared" si="54"/>
        <v>22.051999999999992</v>
      </c>
      <c r="S72" s="4">
        <f t="shared" si="55"/>
        <v>18.036000000000008</v>
      </c>
    </row>
    <row r="73" spans="1:19">
      <c r="B73">
        <v>0.75</v>
      </c>
      <c r="D73" s="4">
        <f t="shared" si="43"/>
        <v>81.84375</v>
      </c>
      <c r="E73" s="4">
        <f t="shared" si="44"/>
        <v>21.8125</v>
      </c>
      <c r="F73" s="12"/>
      <c r="G73" s="12"/>
      <c r="I73" s="4">
        <f t="shared" si="45"/>
        <v>31.84375</v>
      </c>
      <c r="J73" s="4">
        <f t="shared" si="46"/>
        <v>71.8125</v>
      </c>
      <c r="K73" s="17">
        <f t="shared" si="47"/>
        <v>78.556091872702652</v>
      </c>
      <c r="L73">
        <f t="shared" si="48"/>
        <v>1.1534202076916258</v>
      </c>
      <c r="M73" s="15">
        <f t="shared" si="49"/>
        <v>66.086109905833013</v>
      </c>
      <c r="N73" s="18">
        <f t="shared" si="50"/>
        <v>-0.41737611910327077</v>
      </c>
      <c r="O73" s="15">
        <f t="shared" si="51"/>
        <v>-23.913890094166987</v>
      </c>
      <c r="P73" s="4">
        <f t="shared" si="52"/>
        <v>71.8125</v>
      </c>
      <c r="Q73" s="4">
        <f t="shared" si="53"/>
        <v>-31.843749999999986</v>
      </c>
      <c r="R73" s="4">
        <f t="shared" si="54"/>
        <v>21.8125</v>
      </c>
      <c r="S73" s="4">
        <f t="shared" si="55"/>
        <v>18.156250000000014</v>
      </c>
    </row>
    <row r="74" spans="1:19">
      <c r="B74">
        <v>0.8</v>
      </c>
      <c r="D74" s="4">
        <f t="shared" si="43"/>
        <v>81.775999999999996</v>
      </c>
      <c r="E74" s="4">
        <f t="shared" si="44"/>
        <v>21.527999999999999</v>
      </c>
      <c r="F74" s="12"/>
      <c r="G74" s="12"/>
      <c r="I74" s="4">
        <f t="shared" si="45"/>
        <v>31.775999999999996</v>
      </c>
      <c r="J74" s="4">
        <f t="shared" si="46"/>
        <v>71.527999999999992</v>
      </c>
      <c r="K74" s="17">
        <f t="shared" si="47"/>
        <v>78.268569426047378</v>
      </c>
      <c r="L74">
        <f t="shared" si="48"/>
        <v>1.1527380463854522</v>
      </c>
      <c r="M74" s="15">
        <f t="shared" si="49"/>
        <v>66.047024942042128</v>
      </c>
      <c r="N74" s="18">
        <f t="shared" si="50"/>
        <v>-0.41805828040944437</v>
      </c>
      <c r="O74" s="15">
        <f t="shared" si="51"/>
        <v>-23.952975057957872</v>
      </c>
      <c r="P74" s="4">
        <f t="shared" si="52"/>
        <v>71.527999999999992</v>
      </c>
      <c r="Q74" s="4">
        <f t="shared" si="53"/>
        <v>-31.775999999999996</v>
      </c>
      <c r="R74" s="4">
        <f t="shared" si="54"/>
        <v>21.527999999999992</v>
      </c>
      <c r="S74" s="4">
        <f t="shared" si="55"/>
        <v>18.224000000000004</v>
      </c>
    </row>
    <row r="75" spans="1:19">
      <c r="B75">
        <v>0.85</v>
      </c>
      <c r="D75" s="4">
        <f t="shared" si="43"/>
        <v>81.759249999999994</v>
      </c>
      <c r="E75" s="4">
        <f t="shared" si="44"/>
        <v>21.201499999999999</v>
      </c>
      <c r="F75" s="12"/>
      <c r="G75" s="12"/>
      <c r="I75" s="4">
        <f t="shared" si="45"/>
        <v>31.759249999999994</v>
      </c>
      <c r="J75" s="4">
        <f t="shared" si="46"/>
        <v>71.201499999999996</v>
      </c>
      <c r="K75" s="17">
        <f t="shared" si="47"/>
        <v>77.963475825622979</v>
      </c>
      <c r="L75">
        <f t="shared" si="48"/>
        <v>1.1512341724865685</v>
      </c>
      <c r="M75" s="15">
        <f t="shared" si="49"/>
        <v>65.960859314716217</v>
      </c>
      <c r="N75" s="18">
        <f t="shared" si="50"/>
        <v>-0.41956215430832811</v>
      </c>
      <c r="O75" s="15">
        <f t="shared" si="51"/>
        <v>-24.039140685283783</v>
      </c>
      <c r="P75" s="4">
        <f t="shared" si="52"/>
        <v>71.201499999999996</v>
      </c>
      <c r="Q75" s="4">
        <f t="shared" si="53"/>
        <v>-31.759249999999987</v>
      </c>
      <c r="R75" s="4">
        <f t="shared" si="54"/>
        <v>21.201499999999996</v>
      </c>
      <c r="S75" s="4">
        <f t="shared" si="55"/>
        <v>18.240750000000013</v>
      </c>
    </row>
    <row r="76" spans="1:19">
      <c r="B76">
        <v>0.9</v>
      </c>
      <c r="D76" s="4">
        <f t="shared" si="43"/>
        <v>81.792000000000002</v>
      </c>
      <c r="E76" s="4">
        <f t="shared" si="44"/>
        <v>20.835999999999999</v>
      </c>
      <c r="F76" s="12"/>
      <c r="G76" s="12"/>
      <c r="I76" s="4">
        <f t="shared" si="45"/>
        <v>31.792000000000002</v>
      </c>
      <c r="J76" s="4">
        <f t="shared" si="46"/>
        <v>70.835999999999999</v>
      </c>
      <c r="K76" s="17">
        <f t="shared" si="47"/>
        <v>77.643223529165766</v>
      </c>
      <c r="L76">
        <f t="shared" si="48"/>
        <v>1.1489313318237651</v>
      </c>
      <c r="M76" s="15">
        <f t="shared" si="49"/>
        <v>65.828916263846466</v>
      </c>
      <c r="N76" s="18">
        <f t="shared" si="50"/>
        <v>-0.4218649949711315</v>
      </c>
      <c r="O76" s="15">
        <f t="shared" si="51"/>
        <v>-24.171083736153534</v>
      </c>
      <c r="P76" s="4">
        <f t="shared" si="52"/>
        <v>70.835999999999999</v>
      </c>
      <c r="Q76" s="4">
        <f t="shared" si="53"/>
        <v>-31.791999999999998</v>
      </c>
      <c r="R76" s="4">
        <f t="shared" si="54"/>
        <v>20.835999999999999</v>
      </c>
      <c r="S76" s="4">
        <f t="shared" si="55"/>
        <v>18.208000000000002</v>
      </c>
    </row>
    <row r="77" spans="1:19">
      <c r="B77">
        <v>0.95</v>
      </c>
      <c r="D77" s="4">
        <f t="shared" si="43"/>
        <v>81.872749999999996</v>
      </c>
      <c r="E77" s="4">
        <f t="shared" si="44"/>
        <v>20.4345</v>
      </c>
      <c r="F77" s="12"/>
      <c r="G77" s="12"/>
      <c r="I77" s="4">
        <f t="shared" si="45"/>
        <v>31.872749999999996</v>
      </c>
      <c r="J77" s="4">
        <f t="shared" si="46"/>
        <v>70.4345</v>
      </c>
      <c r="K77" s="17">
        <f t="shared" si="47"/>
        <v>77.310354952053473</v>
      </c>
      <c r="L77">
        <f t="shared" si="48"/>
        <v>1.1458519251161237</v>
      </c>
      <c r="M77" s="15">
        <f t="shared" si="49"/>
        <v>65.652479256094338</v>
      </c>
      <c r="N77" s="18">
        <f t="shared" si="50"/>
        <v>-0.4249444016787729</v>
      </c>
      <c r="O77" s="15">
        <f t="shared" si="51"/>
        <v>-24.347520743905662</v>
      </c>
      <c r="P77" s="4">
        <f t="shared" si="52"/>
        <v>70.4345</v>
      </c>
      <c r="Q77" s="4">
        <f t="shared" si="53"/>
        <v>-31.872749999999982</v>
      </c>
      <c r="R77" s="4">
        <f t="shared" si="54"/>
        <v>20.4345</v>
      </c>
      <c r="S77" s="4">
        <f t="shared" si="55"/>
        <v>18.127250000000018</v>
      </c>
    </row>
    <row r="78" spans="1:19">
      <c r="B78">
        <v>1</v>
      </c>
      <c r="D78" s="4">
        <f t="shared" si="43"/>
        <v>82</v>
      </c>
      <c r="E78" s="4">
        <f t="shared" si="44"/>
        <v>20</v>
      </c>
      <c r="F78" s="12"/>
      <c r="G78" s="12"/>
      <c r="I78" s="4">
        <f t="shared" si="45"/>
        <v>32</v>
      </c>
      <c r="J78" s="4">
        <f t="shared" si="46"/>
        <v>70</v>
      </c>
      <c r="K78" s="17">
        <f t="shared" si="47"/>
        <v>76.967525619575426</v>
      </c>
      <c r="L78">
        <f t="shared" si="48"/>
        <v>1.1420182993488803</v>
      </c>
      <c r="M78" s="15">
        <f t="shared" si="49"/>
        <v>65.432828679398696</v>
      </c>
      <c r="N78" s="18">
        <f t="shared" si="50"/>
        <v>-0.42877802744601623</v>
      </c>
      <c r="O78" s="15">
        <f t="shared" si="51"/>
        <v>-24.567171320601304</v>
      </c>
      <c r="P78" s="4">
        <f t="shared" si="52"/>
        <v>70</v>
      </c>
      <c r="Q78" s="4">
        <f t="shared" si="53"/>
        <v>-31.999999999999989</v>
      </c>
      <c r="R78" s="4">
        <f t="shared" si="54"/>
        <v>20</v>
      </c>
      <c r="S78" s="4">
        <f t="shared" si="55"/>
        <v>18.000000000000011</v>
      </c>
    </row>
    <row r="79" spans="1:19">
      <c r="A79">
        <v>4</v>
      </c>
      <c r="B79" s="1">
        <v>0</v>
      </c>
      <c r="D79" s="11">
        <f>mLib.Bezier(B$14,C$14,D$14,E$14,$B79)</f>
        <v>82</v>
      </c>
      <c r="E79" s="11">
        <f>mLib.Bezier(B$15,C$15,D$15,E$15,$B79)</f>
        <v>20</v>
      </c>
      <c r="F79" s="12"/>
      <c r="G79" s="12"/>
      <c r="I79" s="4">
        <f t="shared" si="0"/>
        <v>32</v>
      </c>
      <c r="J79" s="4">
        <f t="shared" si="1"/>
        <v>70</v>
      </c>
      <c r="K79" s="17">
        <f t="shared" si="7"/>
        <v>76.967525619575426</v>
      </c>
      <c r="L79">
        <f t="shared" si="8"/>
        <v>1.1420182993488803</v>
      </c>
      <c r="M79" s="15">
        <f t="shared" si="9"/>
        <v>65.432828679398696</v>
      </c>
      <c r="N79" s="18">
        <f t="shared" si="2"/>
        <v>-0.42877802744601623</v>
      </c>
      <c r="O79" s="15">
        <f t="shared" si="3"/>
        <v>-24.567171320601304</v>
      </c>
      <c r="P79" s="4">
        <f t="shared" si="10"/>
        <v>70</v>
      </c>
      <c r="Q79" s="4">
        <f t="shared" si="11"/>
        <v>-31.999999999999989</v>
      </c>
      <c r="R79" s="4">
        <f t="shared" si="4"/>
        <v>20</v>
      </c>
      <c r="S79" s="4">
        <f t="shared" si="5"/>
        <v>18.000000000000011</v>
      </c>
    </row>
    <row r="80" spans="1:19">
      <c r="B80" s="1">
        <v>5.0000000000001002E-2</v>
      </c>
      <c r="D80" s="11">
        <f t="shared" ref="D80:D89" si="56">mLib.Bezier(B$14,C$14,D$14,E$14,$B80)</f>
        <v>82.09174999999999</v>
      </c>
      <c r="E80" s="11">
        <f t="shared" ref="E80:E89" si="57">mLib.Bezier(B$15,C$15,D$15,E$15,$B80)</f>
        <v>19.309499999999986</v>
      </c>
      <c r="F80" s="12"/>
      <c r="G80" s="12"/>
      <c r="I80" s="4">
        <f t="shared" si="0"/>
        <v>32.09174999999999</v>
      </c>
      <c r="J80" s="4">
        <f t="shared" si="1"/>
        <v>69.309499999999986</v>
      </c>
      <c r="K80" s="17">
        <f t="shared" si="7"/>
        <v>76.378578203004651</v>
      </c>
      <c r="L80">
        <f t="shared" si="8"/>
        <v>1.1371670981396016</v>
      </c>
      <c r="M80" s="15">
        <f t="shared" si="9"/>
        <v>65.154875324538267</v>
      </c>
      <c r="N80" s="18">
        <f t="shared" si="2"/>
        <v>-0.43362922865529496</v>
      </c>
      <c r="O80" s="15">
        <f t="shared" si="3"/>
        <v>-24.845124675461733</v>
      </c>
      <c r="P80" s="4">
        <f t="shared" si="10"/>
        <v>69.309499999999986</v>
      </c>
      <c r="Q80" s="4">
        <f t="shared" si="11"/>
        <v>-32.09174999999999</v>
      </c>
      <c r="R80" s="4">
        <f t="shared" si="4"/>
        <v>19.309499999999986</v>
      </c>
      <c r="S80" s="4">
        <f t="shared" si="5"/>
        <v>17.90825000000001</v>
      </c>
    </row>
    <row r="81" spans="2:19">
      <c r="B81" s="1">
        <v>0.100000000000001</v>
      </c>
      <c r="D81" s="11">
        <f t="shared" si="56"/>
        <v>82.074000000000012</v>
      </c>
      <c r="E81" s="11">
        <f t="shared" si="57"/>
        <v>18.735999999999994</v>
      </c>
      <c r="F81" s="12"/>
      <c r="G81" s="12"/>
      <c r="I81" s="4">
        <f t="shared" si="0"/>
        <v>32.074000000000012</v>
      </c>
      <c r="J81" s="4">
        <f t="shared" si="1"/>
        <v>68.73599999999999</v>
      </c>
      <c r="K81" s="17">
        <f t="shared" si="7"/>
        <v>75.851032768183188</v>
      </c>
      <c r="L81">
        <f t="shared" si="8"/>
        <v>1.13420261824365</v>
      </c>
      <c r="M81" s="15">
        <f t="shared" si="9"/>
        <v>64.985023138048845</v>
      </c>
      <c r="N81" s="18">
        <f t="shared" si="2"/>
        <v>-0.43659370855124657</v>
      </c>
      <c r="O81" s="15">
        <f t="shared" si="3"/>
        <v>-25.014976861951155</v>
      </c>
      <c r="P81" s="4">
        <f t="shared" si="10"/>
        <v>68.73599999999999</v>
      </c>
      <c r="Q81" s="4">
        <f t="shared" si="11"/>
        <v>-32.074000000000005</v>
      </c>
      <c r="R81" s="4">
        <f t="shared" si="4"/>
        <v>18.73599999999999</v>
      </c>
      <c r="S81" s="4">
        <f t="shared" si="5"/>
        <v>17.925999999999995</v>
      </c>
    </row>
    <row r="82" spans="2:19">
      <c r="B82" s="1">
        <v>0.15000000000000099</v>
      </c>
      <c r="D82" s="11">
        <f t="shared" si="56"/>
        <v>81.957249999999988</v>
      </c>
      <c r="E82" s="11">
        <f t="shared" si="57"/>
        <v>18.276499999999992</v>
      </c>
      <c r="F82" s="12"/>
      <c r="G82" s="12"/>
      <c r="I82" s="4">
        <f t="shared" si="0"/>
        <v>31.957249999999988</v>
      </c>
      <c r="J82" s="4">
        <f t="shared" si="1"/>
        <v>68.276499999999999</v>
      </c>
      <c r="K82" s="17">
        <f t="shared" si="7"/>
        <v>75.385318728599259</v>
      </c>
      <c r="L82">
        <f t="shared" si="8"/>
        <v>1.1330286041101578</v>
      </c>
      <c r="M82" s="15">
        <f t="shared" si="9"/>
        <v>64.917757083111042</v>
      </c>
      <c r="N82" s="18">
        <f t="shared" si="2"/>
        <v>-0.43776772268473874</v>
      </c>
      <c r="O82" s="15">
        <f t="shared" si="3"/>
        <v>-25.082242916888958</v>
      </c>
      <c r="P82" s="4">
        <f t="shared" si="10"/>
        <v>68.276499999999999</v>
      </c>
      <c r="Q82" s="4">
        <f t="shared" si="11"/>
        <v>-31.95724999999997</v>
      </c>
      <c r="R82" s="4">
        <f t="shared" si="4"/>
        <v>18.276499999999999</v>
      </c>
      <c r="S82" s="4">
        <f t="shared" si="5"/>
        <v>18.04275000000003</v>
      </c>
    </row>
    <row r="83" spans="2:19">
      <c r="B83" s="1">
        <v>0.2</v>
      </c>
      <c r="D83" s="11">
        <f t="shared" si="56"/>
        <v>81.752000000000024</v>
      </c>
      <c r="E83" s="11">
        <f t="shared" si="57"/>
        <v>17.928000000000004</v>
      </c>
      <c r="F83" s="12"/>
      <c r="G83" s="12"/>
      <c r="I83" s="4">
        <f t="shared" si="0"/>
        <v>31.752000000000024</v>
      </c>
      <c r="J83" s="4">
        <f t="shared" si="1"/>
        <v>67.927999999999997</v>
      </c>
      <c r="K83" s="17">
        <f t="shared" si="7"/>
        <v>74.982682587381476</v>
      </c>
      <c r="L83">
        <f t="shared" si="8"/>
        <v>1.1335375121294304</v>
      </c>
      <c r="M83" s="15">
        <f t="shared" si="9"/>
        <v>64.94691536477572</v>
      </c>
      <c r="N83" s="18">
        <f t="shared" si="2"/>
        <v>-0.43725881466546612</v>
      </c>
      <c r="O83" s="15">
        <f t="shared" si="3"/>
        <v>-25.05308463522428</v>
      </c>
      <c r="P83" s="4">
        <f t="shared" si="10"/>
        <v>67.927999999999997</v>
      </c>
      <c r="Q83" s="4">
        <f t="shared" si="11"/>
        <v>-31.75200000000002</v>
      </c>
      <c r="R83" s="4">
        <f t="shared" si="4"/>
        <v>17.927999999999997</v>
      </c>
      <c r="S83" s="4">
        <f t="shared" si="5"/>
        <v>18.24799999999998</v>
      </c>
    </row>
    <row r="84" spans="2:19">
      <c r="B84" s="1">
        <v>0.25</v>
      </c>
      <c r="D84" s="11">
        <f t="shared" si="56"/>
        <v>81.46875</v>
      </c>
      <c r="E84" s="11">
        <f t="shared" si="57"/>
        <v>17.6875</v>
      </c>
      <c r="F84" s="12"/>
      <c r="G84" s="12"/>
      <c r="I84" s="4">
        <f t="shared" si="0"/>
        <v>31.46875</v>
      </c>
      <c r="J84" s="4">
        <f t="shared" si="1"/>
        <v>67.6875</v>
      </c>
      <c r="K84" s="17">
        <f t="shared" si="7"/>
        <v>74.645025841059905</v>
      </c>
      <c r="L84">
        <f t="shared" si="8"/>
        <v>1.135610780591038</v>
      </c>
      <c r="M84" s="15">
        <f t="shared" si="9"/>
        <v>65.065704897423416</v>
      </c>
      <c r="N84" s="18">
        <f t="shared" si="2"/>
        <v>-0.43518554620385852</v>
      </c>
      <c r="O84" s="15">
        <f t="shared" si="3"/>
        <v>-24.934295102576584</v>
      </c>
      <c r="P84" s="4">
        <f t="shared" si="10"/>
        <v>67.687500000000014</v>
      </c>
      <c r="Q84" s="4">
        <f t="shared" si="11"/>
        <v>-31.468750000000004</v>
      </c>
      <c r="R84" s="4">
        <f t="shared" si="4"/>
        <v>17.687500000000014</v>
      </c>
      <c r="S84" s="4">
        <f t="shared" si="5"/>
        <v>18.531249999999996</v>
      </c>
    </row>
    <row r="85" spans="2:19">
      <c r="B85" s="1">
        <v>0.3</v>
      </c>
      <c r="D85" s="11">
        <f t="shared" si="56"/>
        <v>81.117999999999981</v>
      </c>
      <c r="E85" s="11">
        <f t="shared" si="57"/>
        <v>17.551999999999996</v>
      </c>
      <c r="F85" s="12"/>
      <c r="G85" s="12"/>
      <c r="I85" s="4">
        <f t="shared" si="0"/>
        <v>31.117999999999981</v>
      </c>
      <c r="J85" s="4">
        <f t="shared" si="1"/>
        <v>67.551999999999992</v>
      </c>
      <c r="K85" s="17">
        <f t="shared" si="7"/>
        <v>74.374744557544517</v>
      </c>
      <c r="L85">
        <f t="shared" si="8"/>
        <v>1.139119147102948</v>
      </c>
      <c r="M85" s="15">
        <f t="shared" si="9"/>
        <v>65.266719491540897</v>
      </c>
      <c r="N85" s="18">
        <f t="shared" si="2"/>
        <v>-0.43167717969194852</v>
      </c>
      <c r="O85" s="15">
        <f t="shared" si="3"/>
        <v>-24.733280508459103</v>
      </c>
      <c r="P85" s="4">
        <f t="shared" si="10"/>
        <v>67.551999999999992</v>
      </c>
      <c r="Q85" s="4">
        <f t="shared" si="11"/>
        <v>-31.117999999999984</v>
      </c>
      <c r="R85" s="4">
        <f t="shared" si="4"/>
        <v>17.551999999999992</v>
      </c>
      <c r="S85" s="4">
        <f t="shared" si="5"/>
        <v>18.882000000000016</v>
      </c>
    </row>
    <row r="86" spans="2:19">
      <c r="B86" s="1">
        <v>0.35</v>
      </c>
      <c r="D86" s="11">
        <f t="shared" si="56"/>
        <v>80.710250000000002</v>
      </c>
      <c r="E86" s="11">
        <f t="shared" si="57"/>
        <v>17.5185</v>
      </c>
      <c r="F86" s="12"/>
      <c r="G86" s="12"/>
      <c r="I86" s="4">
        <f t="shared" si="0"/>
        <v>30.710250000000002</v>
      </c>
      <c r="J86" s="4">
        <f t="shared" si="1"/>
        <v>67.518500000000003</v>
      </c>
      <c r="K86" s="17">
        <f t="shared" si="7"/>
        <v>74.174573118505378</v>
      </c>
      <c r="L86">
        <f t="shared" si="8"/>
        <v>1.1439230888108063</v>
      </c>
      <c r="M86" s="15">
        <f t="shared" si="9"/>
        <v>65.541965076428042</v>
      </c>
      <c r="N86" s="18">
        <f t="shared" si="2"/>
        <v>-0.42687323798409027</v>
      </c>
      <c r="O86" s="15">
        <f t="shared" si="3"/>
        <v>-24.458034923571958</v>
      </c>
      <c r="P86" s="4">
        <f t="shared" si="10"/>
        <v>67.518500000000003</v>
      </c>
      <c r="Q86" s="4">
        <f t="shared" si="11"/>
        <v>-30.710249999999995</v>
      </c>
      <c r="R86" s="4">
        <f t="shared" si="4"/>
        <v>17.518500000000003</v>
      </c>
      <c r="S86" s="4">
        <f t="shared" si="5"/>
        <v>19.289750000000005</v>
      </c>
    </row>
    <row r="87" spans="2:19">
      <c r="B87" s="1">
        <v>0.4</v>
      </c>
      <c r="D87" s="11">
        <f t="shared" si="56"/>
        <v>80.256</v>
      </c>
      <c r="E87" s="11">
        <f t="shared" si="57"/>
        <v>17.584</v>
      </c>
      <c r="F87" s="12"/>
      <c r="G87" s="12"/>
      <c r="I87" s="4">
        <f t="shared" si="0"/>
        <v>30.256</v>
      </c>
      <c r="J87" s="4">
        <f t="shared" si="1"/>
        <v>67.584000000000003</v>
      </c>
      <c r="K87" s="17">
        <f t="shared" si="7"/>
        <v>74.047434742872767</v>
      </c>
      <c r="L87">
        <f t="shared" si="8"/>
        <v>1.149873451769599</v>
      </c>
      <c r="M87" s="15">
        <f t="shared" si="9"/>
        <v>65.882895760537849</v>
      </c>
      <c r="N87" s="18">
        <f t="shared" si="2"/>
        <v>-0.42092287502529757</v>
      </c>
      <c r="O87" s="15">
        <f t="shared" si="3"/>
        <v>-24.117104239462151</v>
      </c>
      <c r="P87" s="4">
        <f t="shared" si="10"/>
        <v>67.584000000000003</v>
      </c>
      <c r="Q87" s="4">
        <f t="shared" si="11"/>
        <v>-30.255999999999993</v>
      </c>
      <c r="R87" s="4">
        <f t="shared" si="4"/>
        <v>17.584000000000003</v>
      </c>
      <c r="S87" s="4">
        <f t="shared" si="5"/>
        <v>19.744000000000007</v>
      </c>
    </row>
    <row r="88" spans="2:19">
      <c r="B88" s="1">
        <v>0.45</v>
      </c>
      <c r="D88" s="11">
        <f t="shared" si="56"/>
        <v>79.765750000000011</v>
      </c>
      <c r="E88" s="11">
        <f t="shared" si="57"/>
        <v>17.745500000000003</v>
      </c>
      <c r="F88" s="12"/>
      <c r="G88" s="12"/>
      <c r="I88" s="4">
        <f t="shared" si="0"/>
        <v>29.765750000000011</v>
      </c>
      <c r="J88" s="4">
        <f t="shared" si="1"/>
        <v>67.745500000000007</v>
      </c>
      <c r="K88" s="17">
        <f t="shared" si="7"/>
        <v>73.996301551580942</v>
      </c>
      <c r="L88">
        <f t="shared" si="8"/>
        <v>1.1568123211558845</v>
      </c>
      <c r="M88" s="15">
        <f t="shared" si="9"/>
        <v>66.280463690964538</v>
      </c>
      <c r="N88" s="18">
        <f t="shared" si="2"/>
        <v>-0.41398400563901205</v>
      </c>
      <c r="O88" s="15">
        <f t="shared" si="3"/>
        <v>-23.719536309035462</v>
      </c>
      <c r="P88" s="4">
        <f t="shared" si="10"/>
        <v>67.745500000000007</v>
      </c>
      <c r="Q88" s="4">
        <f t="shared" si="11"/>
        <v>-29.765750000000008</v>
      </c>
      <c r="R88" s="4">
        <f t="shared" si="4"/>
        <v>17.745500000000007</v>
      </c>
      <c r="S88" s="4">
        <f t="shared" si="5"/>
        <v>20.234249999999992</v>
      </c>
    </row>
    <row r="89" spans="2:19">
      <c r="B89" s="1">
        <v>0.5</v>
      </c>
      <c r="D89" s="11">
        <f t="shared" si="56"/>
        <v>79.25</v>
      </c>
      <c r="E89" s="11">
        <f t="shared" si="57"/>
        <v>18</v>
      </c>
      <c r="F89" s="12"/>
      <c r="G89" s="12"/>
      <c r="I89" s="4">
        <f t="shared" si="0"/>
        <v>29.25</v>
      </c>
      <c r="J89" s="4">
        <f t="shared" si="1"/>
        <v>68</v>
      </c>
      <c r="K89" s="17">
        <f t="shared" si="7"/>
        <v>74.024067032283497</v>
      </c>
      <c r="L89">
        <f t="shared" si="8"/>
        <v>1.1645741643545586</v>
      </c>
      <c r="M89" s="15">
        <f t="shared" si="9"/>
        <v>66.725184547490883</v>
      </c>
      <c r="N89" s="18">
        <f t="shared" si="2"/>
        <v>-0.40622216244033793</v>
      </c>
      <c r="O89" s="15">
        <f t="shared" si="3"/>
        <v>-23.274815452509117</v>
      </c>
      <c r="P89" s="4">
        <f t="shared" si="10"/>
        <v>68.000000000000014</v>
      </c>
      <c r="Q89" s="4">
        <f t="shared" si="11"/>
        <v>-29.249999999999996</v>
      </c>
      <c r="R89" s="4">
        <f t="shared" si="4"/>
        <v>18.000000000000014</v>
      </c>
      <c r="S89" s="4">
        <f t="shared" si="5"/>
        <v>20.750000000000004</v>
      </c>
    </row>
    <row r="90" spans="2:19">
      <c r="B90" s="1">
        <v>0.55000000000000004</v>
      </c>
      <c r="D90" s="11">
        <f t="shared" ref="D90:D99" si="58">mLib.Bezier(B$14,C$14,D$14,E$14,$B90)</f>
        <v>78.719250000000002</v>
      </c>
      <c r="E90" s="11">
        <f t="shared" ref="E90:E99" si="59">mLib.Bezier(B$15,C$15,D$15,E$15,$B90)</f>
        <v>18.3445</v>
      </c>
      <c r="F90" s="12"/>
      <c r="G90" s="12"/>
      <c r="I90" s="4">
        <f t="shared" ref="I90:I99" si="60">D90-_cX</f>
        <v>28.719250000000002</v>
      </c>
      <c r="J90" s="4">
        <f t="shared" ref="J90:J99" si="61">E90+_cY</f>
        <v>68.344499999999996</v>
      </c>
      <c r="K90" s="17">
        <f t="shared" ref="K90:K99" si="62">SQRT(I90^2+J90^2)</f>
        <v>74.133433758409566</v>
      </c>
      <c r="L90">
        <f t="shared" ref="L90:L99" si="63">ATAN(J90/I90)</f>
        <v>1.1729872555783509</v>
      </c>
      <c r="M90" s="15">
        <f t="shared" ref="M90:M99" si="64">DEGREES(L90)</f>
        <v>67.20721916727274</v>
      </c>
      <c r="N90" s="18">
        <f t="shared" ref="N90:N99" si="65">L90+_vRD</f>
        <v>-0.39780907121654563</v>
      </c>
      <c r="O90" s="15">
        <f t="shared" ref="O90:O99" si="66">M90+_vGR</f>
        <v>-22.79278083272726</v>
      </c>
      <c r="P90" s="4">
        <f t="shared" ref="P90:P99" si="67">K90*COS(N90)</f>
        <v>68.344499999999996</v>
      </c>
      <c r="Q90" s="4">
        <f t="shared" ref="Q90:Q99" si="68">K90*SIN(N90)</f>
        <v>-28.719249999999999</v>
      </c>
      <c r="R90" s="4">
        <f t="shared" ref="R90:R99" si="69">P90-_cX</f>
        <v>18.344499999999996</v>
      </c>
      <c r="S90" s="4">
        <f t="shared" ref="S90:S99" si="70">Q90+_cY</f>
        <v>21.280750000000001</v>
      </c>
    </row>
    <row r="91" spans="2:19">
      <c r="B91" s="1">
        <v>0.6</v>
      </c>
      <c r="D91" s="11">
        <f t="shared" si="58"/>
        <v>78.183999999999997</v>
      </c>
      <c r="E91" s="11">
        <f t="shared" si="59"/>
        <v>18.776</v>
      </c>
      <c r="F91" s="12"/>
      <c r="G91" s="12"/>
      <c r="I91" s="4">
        <f t="shared" si="60"/>
        <v>28.183999999999997</v>
      </c>
      <c r="J91" s="4">
        <f t="shared" si="61"/>
        <v>68.775999999999996</v>
      </c>
      <c r="K91" s="17">
        <f t="shared" si="62"/>
        <v>74.32681906283895</v>
      </c>
      <c r="L91">
        <f t="shared" si="63"/>
        <v>1.181875365452365</v>
      </c>
      <c r="M91" s="15">
        <f t="shared" si="64"/>
        <v>67.716470350902298</v>
      </c>
      <c r="N91" s="18">
        <f t="shared" si="65"/>
        <v>-0.38892096134253151</v>
      </c>
      <c r="O91" s="15">
        <f t="shared" si="66"/>
        <v>-22.283529649097702</v>
      </c>
      <c r="P91" s="4">
        <f t="shared" si="67"/>
        <v>68.775999999999996</v>
      </c>
      <c r="Q91" s="4">
        <f t="shared" si="68"/>
        <v>-28.183999999999997</v>
      </c>
      <c r="R91" s="4">
        <f t="shared" si="69"/>
        <v>18.775999999999996</v>
      </c>
      <c r="S91" s="4">
        <f t="shared" si="70"/>
        <v>21.816000000000003</v>
      </c>
    </row>
    <row r="92" spans="2:19">
      <c r="B92" s="1">
        <v>0.65</v>
      </c>
      <c r="D92" s="11">
        <f t="shared" si="58"/>
        <v>77.654749999999993</v>
      </c>
      <c r="E92" s="11">
        <f t="shared" si="59"/>
        <v>19.291499999999999</v>
      </c>
      <c r="F92" s="12"/>
      <c r="G92" s="12"/>
      <c r="I92" s="4">
        <f t="shared" si="60"/>
        <v>27.654749999999993</v>
      </c>
      <c r="J92" s="4">
        <f t="shared" si="61"/>
        <v>69.291499999999999</v>
      </c>
      <c r="K92" s="17">
        <f t="shared" si="62"/>
        <v>74.606281034591845</v>
      </c>
      <c r="L92">
        <f t="shared" si="63"/>
        <v>1.1910596742714741</v>
      </c>
      <c r="M92" s="15">
        <f t="shared" si="64"/>
        <v>68.242692483982026</v>
      </c>
      <c r="N92" s="18">
        <f t="shared" si="65"/>
        <v>-0.37973665252342248</v>
      </c>
      <c r="O92" s="15">
        <f t="shared" si="66"/>
        <v>-21.757307516017974</v>
      </c>
      <c r="P92" s="4">
        <f t="shared" si="67"/>
        <v>69.291499999999999</v>
      </c>
      <c r="Q92" s="4">
        <f t="shared" si="68"/>
        <v>-27.654749999999993</v>
      </c>
      <c r="R92" s="4">
        <f t="shared" si="69"/>
        <v>19.291499999999999</v>
      </c>
      <c r="S92" s="4">
        <f t="shared" si="70"/>
        <v>22.345250000000007</v>
      </c>
    </row>
    <row r="93" spans="2:19">
      <c r="B93" s="1">
        <v>0.7</v>
      </c>
      <c r="D93" s="11">
        <f t="shared" si="58"/>
        <v>77.141999999999996</v>
      </c>
      <c r="E93" s="11">
        <f t="shared" si="59"/>
        <v>19.887999999999998</v>
      </c>
      <c r="F93" s="12"/>
      <c r="G93" s="12"/>
      <c r="I93" s="4">
        <f t="shared" si="60"/>
        <v>27.141999999999996</v>
      </c>
      <c r="J93" s="4">
        <f t="shared" si="61"/>
        <v>69.888000000000005</v>
      </c>
      <c r="K93" s="17">
        <f t="shared" si="62"/>
        <v>74.973466693224211</v>
      </c>
      <c r="L93">
        <f t="shared" si="63"/>
        <v>1.2003608459809005</v>
      </c>
      <c r="M93" s="15">
        <f t="shared" si="64"/>
        <v>68.77561036745864</v>
      </c>
      <c r="N93" s="18">
        <f t="shared" si="65"/>
        <v>-0.37043548081399602</v>
      </c>
      <c r="O93" s="15">
        <f t="shared" si="66"/>
        <v>-21.22438963254136</v>
      </c>
      <c r="P93" s="4">
        <f t="shared" si="67"/>
        <v>69.888000000000005</v>
      </c>
      <c r="Q93" s="4">
        <f t="shared" si="68"/>
        <v>-27.141999999999985</v>
      </c>
      <c r="R93" s="4">
        <f t="shared" si="69"/>
        <v>19.888000000000005</v>
      </c>
      <c r="S93" s="4">
        <f t="shared" si="70"/>
        <v>22.858000000000015</v>
      </c>
    </row>
    <row r="94" spans="2:19">
      <c r="B94" s="1">
        <v>0.75</v>
      </c>
      <c r="D94" s="11">
        <f t="shared" si="58"/>
        <v>76.65625</v>
      </c>
      <c r="E94" s="11">
        <f t="shared" si="59"/>
        <v>20.5625</v>
      </c>
      <c r="F94" s="12"/>
      <c r="G94" s="12"/>
      <c r="I94" s="4">
        <f t="shared" si="60"/>
        <v>26.65625</v>
      </c>
      <c r="J94" s="4">
        <f t="shared" si="61"/>
        <v>70.5625</v>
      </c>
      <c r="K94" s="17">
        <f t="shared" si="62"/>
        <v>75.429583522067119</v>
      </c>
      <c r="L94">
        <f t="shared" si="63"/>
        <v>1.2096011837496476</v>
      </c>
      <c r="M94" s="15">
        <f t="shared" si="64"/>
        <v>69.305042722883186</v>
      </c>
      <c r="N94" s="18">
        <f t="shared" si="65"/>
        <v>-0.36119514304524891</v>
      </c>
      <c r="O94" s="15">
        <f t="shared" si="66"/>
        <v>-20.694957277116814</v>
      </c>
      <c r="P94" s="4">
        <f t="shared" si="67"/>
        <v>70.5625</v>
      </c>
      <c r="Q94" s="4">
        <f t="shared" si="68"/>
        <v>-26.656249999999996</v>
      </c>
      <c r="R94" s="4">
        <f t="shared" si="69"/>
        <v>20.5625</v>
      </c>
      <c r="S94" s="4">
        <f t="shared" si="70"/>
        <v>23.343750000000004</v>
      </c>
    </row>
    <row r="95" spans="2:19">
      <c r="B95" s="1">
        <v>0.8</v>
      </c>
      <c r="D95" s="11">
        <f t="shared" si="58"/>
        <v>76.207999999999998</v>
      </c>
      <c r="E95" s="11">
        <f t="shared" si="59"/>
        <v>21.312000000000001</v>
      </c>
      <c r="F95" s="12"/>
      <c r="G95" s="12"/>
      <c r="I95" s="4">
        <f t="shared" si="60"/>
        <v>26.207999999999998</v>
      </c>
      <c r="J95" s="4">
        <f t="shared" si="61"/>
        <v>71.311999999999998</v>
      </c>
      <c r="K95" s="17">
        <f t="shared" si="62"/>
        <v>75.975394753828027</v>
      </c>
      <c r="L95">
        <f t="shared" si="63"/>
        <v>1.2186067791591355</v>
      </c>
      <c r="M95" s="15">
        <f t="shared" si="64"/>
        <v>69.821025331849228</v>
      </c>
      <c r="N95" s="18">
        <f t="shared" si="65"/>
        <v>-0.35218954763576105</v>
      </c>
      <c r="O95" s="15">
        <f t="shared" si="66"/>
        <v>-20.178974668150772</v>
      </c>
      <c r="P95" s="4">
        <f t="shared" si="67"/>
        <v>71.311999999999998</v>
      </c>
      <c r="Q95" s="4">
        <f t="shared" si="68"/>
        <v>-26.207999999999984</v>
      </c>
      <c r="R95" s="4">
        <f t="shared" si="69"/>
        <v>21.311999999999998</v>
      </c>
      <c r="S95" s="4">
        <f t="shared" si="70"/>
        <v>23.792000000000016</v>
      </c>
    </row>
    <row r="96" spans="2:19">
      <c r="B96" s="1">
        <v>0.85</v>
      </c>
      <c r="D96" s="11">
        <f t="shared" si="58"/>
        <v>75.807749999999999</v>
      </c>
      <c r="E96" s="11">
        <f t="shared" si="59"/>
        <v>22.133499999999998</v>
      </c>
      <c r="F96" s="12"/>
      <c r="G96" s="12"/>
      <c r="I96" s="4">
        <f t="shared" si="60"/>
        <v>25.807749999999999</v>
      </c>
      <c r="J96" s="4">
        <f t="shared" si="61"/>
        <v>72.133499999999998</v>
      </c>
      <c r="K96" s="17">
        <f t="shared" si="62"/>
        <v>76.611237963581431</v>
      </c>
      <c r="L96">
        <f t="shared" si="63"/>
        <v>1.2272095664861755</v>
      </c>
      <c r="M96" s="15">
        <f t="shared" si="64"/>
        <v>70.313928737737257</v>
      </c>
      <c r="N96" s="18">
        <f t="shared" si="65"/>
        <v>-0.34358676030872104</v>
      </c>
      <c r="O96" s="15">
        <f t="shared" si="66"/>
        <v>-19.686071262262743</v>
      </c>
      <c r="P96" s="4">
        <f t="shared" si="67"/>
        <v>72.133500000000012</v>
      </c>
      <c r="Q96" s="4">
        <f t="shared" si="68"/>
        <v>-25.807749999999988</v>
      </c>
      <c r="R96" s="4">
        <f t="shared" si="69"/>
        <v>22.133500000000012</v>
      </c>
      <c r="S96" s="4">
        <f t="shared" si="70"/>
        <v>24.192250000000012</v>
      </c>
    </row>
    <row r="97" spans="1:19">
      <c r="B97" s="1">
        <v>0.9</v>
      </c>
      <c r="D97" s="11">
        <f t="shared" si="58"/>
        <v>75.465999999999994</v>
      </c>
      <c r="E97" s="11">
        <f t="shared" si="59"/>
        <v>23.024000000000001</v>
      </c>
      <c r="F97" s="12"/>
      <c r="G97" s="12"/>
      <c r="I97" s="4">
        <f t="shared" si="60"/>
        <v>25.465999999999994</v>
      </c>
      <c r="J97" s="4">
        <f t="shared" si="61"/>
        <v>73.024000000000001</v>
      </c>
      <c r="K97" s="17">
        <f t="shared" si="62"/>
        <v>77.337065705908444</v>
      </c>
      <c r="L97">
        <f t="shared" si="63"/>
        <v>1.2352492012224714</v>
      </c>
      <c r="M97" s="15">
        <f t="shared" si="64"/>
        <v>70.774565876953787</v>
      </c>
      <c r="N97" s="18">
        <f t="shared" si="65"/>
        <v>-0.33554712557242516</v>
      </c>
      <c r="O97" s="15">
        <f t="shared" si="66"/>
        <v>-19.225434123046213</v>
      </c>
      <c r="P97" s="4">
        <f t="shared" si="67"/>
        <v>73.024000000000001</v>
      </c>
      <c r="Q97" s="4">
        <f t="shared" si="68"/>
        <v>-25.465999999999994</v>
      </c>
      <c r="R97" s="4">
        <f t="shared" si="69"/>
        <v>23.024000000000001</v>
      </c>
      <c r="S97" s="4">
        <f t="shared" si="70"/>
        <v>24.534000000000006</v>
      </c>
    </row>
    <row r="98" spans="1:19">
      <c r="B98" s="1">
        <v>0.95</v>
      </c>
      <c r="D98" s="11">
        <f t="shared" si="58"/>
        <v>75.193250000000006</v>
      </c>
      <c r="E98" s="11">
        <f t="shared" si="59"/>
        <v>23.980499999999999</v>
      </c>
      <c r="F98" s="12"/>
      <c r="G98" s="12"/>
      <c r="I98" s="4">
        <f t="shared" si="60"/>
        <v>25.193250000000006</v>
      </c>
      <c r="J98" s="4">
        <f t="shared" si="61"/>
        <v>73.980500000000006</v>
      </c>
      <c r="K98" s="17">
        <f t="shared" si="62"/>
        <v>78.152506203016301</v>
      </c>
      <c r="L98">
        <f t="shared" si="63"/>
        <v>1.2425746966908979</v>
      </c>
      <c r="M98" s="15">
        <f t="shared" si="64"/>
        <v>71.194285850136836</v>
      </c>
      <c r="N98" s="18">
        <f t="shared" si="65"/>
        <v>-0.32822163010399863</v>
      </c>
      <c r="O98" s="15">
        <f t="shared" si="66"/>
        <v>-18.805714149863164</v>
      </c>
      <c r="P98" s="4">
        <f t="shared" si="67"/>
        <v>73.980500000000006</v>
      </c>
      <c r="Q98" s="4">
        <f t="shared" si="68"/>
        <v>-25.193249999999999</v>
      </c>
      <c r="R98" s="4">
        <f t="shared" si="69"/>
        <v>23.980500000000006</v>
      </c>
      <c r="S98" s="4">
        <f t="shared" si="70"/>
        <v>24.806750000000001</v>
      </c>
    </row>
    <row r="99" spans="1:19">
      <c r="B99" s="1">
        <v>1</v>
      </c>
      <c r="D99" s="11">
        <f t="shared" si="58"/>
        <v>75</v>
      </c>
      <c r="E99" s="11">
        <f t="shared" si="59"/>
        <v>25</v>
      </c>
      <c r="F99" s="12"/>
      <c r="G99" s="12"/>
      <c r="I99" s="4">
        <f t="shared" si="60"/>
        <v>25</v>
      </c>
      <c r="J99" s="4">
        <f t="shared" si="61"/>
        <v>75</v>
      </c>
      <c r="K99" s="17">
        <f t="shared" si="62"/>
        <v>79.05694150420949</v>
      </c>
      <c r="L99">
        <f t="shared" si="63"/>
        <v>1.2490457723982544</v>
      </c>
      <c r="M99" s="15">
        <f t="shared" si="64"/>
        <v>71.56505117707799</v>
      </c>
      <c r="N99" s="18">
        <f t="shared" si="65"/>
        <v>-0.32175055439664213</v>
      </c>
      <c r="O99" s="15">
        <f t="shared" si="66"/>
        <v>-18.43494882292201</v>
      </c>
      <c r="P99" s="4">
        <f t="shared" si="67"/>
        <v>75</v>
      </c>
      <c r="Q99" s="4">
        <f t="shared" si="68"/>
        <v>-25</v>
      </c>
      <c r="R99" s="4">
        <f t="shared" si="69"/>
        <v>25</v>
      </c>
      <c r="S99" s="4">
        <f t="shared" si="70"/>
        <v>25</v>
      </c>
    </row>
    <row r="100" spans="1:19"/>
    <row r="101" spans="1:19">
      <c r="H101" t="s">
        <v>79</v>
      </c>
      <c r="L101" t="s">
        <v>82</v>
      </c>
    </row>
    <row r="102" spans="1:19">
      <c r="H102" t="s">
        <v>80</v>
      </c>
      <c r="L102" t="s">
        <v>83</v>
      </c>
    </row>
    <row r="103" spans="1:19">
      <c r="H103" t="s">
        <v>81</v>
      </c>
    </row>
    <row r="104" spans="1:19">
      <c r="L104" t="s">
        <v>84</v>
      </c>
    </row>
    <row r="105" spans="1:19">
      <c r="L105" t="s">
        <v>85</v>
      </c>
    </row>
    <row r="106" spans="1:19">
      <c r="A106" t="s">
        <v>76</v>
      </c>
    </row>
    <row r="107" spans="1:19"/>
    <row r="108" spans="1:19"/>
    <row r="109" spans="1:19"/>
  </sheetData>
  <mergeCells count="7">
    <mergeCell ref="I8:J8"/>
    <mergeCell ref="K13:M13"/>
    <mergeCell ref="L14:M14"/>
    <mergeCell ref="K14:K15"/>
    <mergeCell ref="N12:O12"/>
    <mergeCell ref="N13:O13"/>
    <mergeCell ref="I13:J1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61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62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22</vt:i4>
      </vt:variant>
    </vt:vector>
  </HeadingPairs>
  <TitlesOfParts>
    <vt:vector size="27" baseType="lpstr">
      <vt:lpstr>Лист1</vt:lpstr>
      <vt:lpstr>Лист2</vt:lpstr>
      <vt:lpstr>Лист3</vt:lpstr>
      <vt:lpstr>Лист4</vt:lpstr>
      <vt:lpstr>xml</vt:lpstr>
      <vt:lpstr>_cX</vt:lpstr>
      <vt:lpstr>_cY</vt:lpstr>
      <vt:lpstr>_T00</vt:lpstr>
      <vt:lpstr>_T01</vt:lpstr>
      <vt:lpstr>_T02</vt:lpstr>
      <vt:lpstr>_T03</vt:lpstr>
      <vt:lpstr>_T11</vt:lpstr>
      <vt:lpstr>_T12</vt:lpstr>
      <vt:lpstr>_T13</vt:lpstr>
      <vt:lpstr>_T21</vt:lpstr>
      <vt:lpstr>_T22</vt:lpstr>
      <vt:lpstr>_T23</vt:lpstr>
      <vt:lpstr>_T31</vt:lpstr>
      <vt:lpstr>_T32</vt:lpstr>
      <vt:lpstr>_T33</vt:lpstr>
      <vt:lpstr>_vGR</vt:lpstr>
      <vt:lpstr>_vRD</vt:lpstr>
      <vt:lpstr>_XMLbeg</vt:lpstr>
      <vt:lpstr>_XMLend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2020-06-13T09:57:07Z</dcterms:modified>
</cp:coreProperties>
</file>