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Override PartName="/xl/drawings/drawing4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 defaultThemeVersion="124226"/>
  <bookViews>
    <workbookView xWindow="120" yWindow="75" windowWidth="20115" windowHeight="7755" activeTab="3"/>
  </bookViews>
  <sheets>
    <sheet name="Лист1" sheetId="1" r:id="rId1"/>
    <sheet name="Лист2" sheetId="2" r:id="rId2"/>
    <sheet name="Лист3" sheetId="4" r:id="rId3"/>
    <sheet name="Лист4" sheetId="5" r:id="rId4"/>
    <sheet name="xml" sheetId="3" r:id="rId5"/>
  </sheets>
  <functionGroups/>
  <definedNames>
    <definedName name="_cX">Лист4!$I$10</definedName>
    <definedName name="_cY">Лист4!$J$10</definedName>
    <definedName name="_T00">Лист3!$R$20</definedName>
    <definedName name="_T01">Лист3!$R$21</definedName>
    <definedName name="_T02">Лист3!$R$22</definedName>
    <definedName name="_T03">Лист3!$R$23</definedName>
    <definedName name="_T11">Лист3!$R$24</definedName>
    <definedName name="_T12">Лист3!$R$25</definedName>
    <definedName name="_T13">Лист3!$R$26</definedName>
    <definedName name="_T21">Лист3!$R$27</definedName>
    <definedName name="_T22">Лист3!$R$28</definedName>
    <definedName name="_T23">Лист3!$R$29</definedName>
    <definedName name="_T31">Лист3!$R$30</definedName>
    <definedName name="_T32">Лист3!$R$31</definedName>
    <definedName name="_T33">Лист3!$R$32</definedName>
    <definedName name="_vGR">Лист4!$O$15</definedName>
    <definedName name="_vRD">Лист4!$N$15</definedName>
    <definedName name="_XMLbeg">xml!$A$1</definedName>
    <definedName name="_XMLend">xml!$A$2</definedName>
    <definedName name="tDEFS">xml!$A$22</definedName>
    <definedName name="tMETA">xml!$A$42</definedName>
    <definedName name="tSVG">xml!$A$7</definedName>
  </definedNames>
  <calcPr calcId="125725"/>
</workbook>
</file>

<file path=xl/calcChain.xml><?xml version="1.0" encoding="utf-8"?>
<calcChain xmlns="http://schemas.openxmlformats.org/spreadsheetml/2006/main">
  <c r="R17" i="5"/>
  <c r="R18"/>
  <c r="R19"/>
  <c r="R20"/>
  <c r="R21"/>
  <c r="R22"/>
  <c r="R23"/>
  <c r="R24"/>
  <c r="R25"/>
  <c r="R26"/>
  <c r="R27"/>
  <c r="R28"/>
  <c r="R29"/>
  <c r="R30"/>
  <c r="R31"/>
  <c r="R32"/>
  <c r="R33"/>
  <c r="R34"/>
  <c r="R35"/>
  <c r="R36"/>
  <c r="R37"/>
  <c r="R38"/>
  <c r="R39"/>
  <c r="R40"/>
  <c r="R41"/>
  <c r="R42"/>
  <c r="R43"/>
  <c r="R44"/>
  <c r="R45"/>
  <c r="R46"/>
  <c r="R47"/>
  <c r="R48"/>
  <c r="R49"/>
  <c r="R50"/>
  <c r="R51"/>
  <c r="R52"/>
  <c r="R53"/>
  <c r="R54"/>
  <c r="R55"/>
  <c r="R56"/>
  <c r="R57"/>
  <c r="R58"/>
  <c r="R59"/>
  <c r="R16"/>
  <c r="S17"/>
  <c r="S18"/>
  <c r="S19"/>
  <c r="S20"/>
  <c r="S21"/>
  <c r="S22"/>
  <c r="S23"/>
  <c r="S24"/>
  <c r="S25"/>
  <c r="S26"/>
  <c r="S27"/>
  <c r="S28"/>
  <c r="S29"/>
  <c r="S30"/>
  <c r="S31"/>
  <c r="S32"/>
  <c r="S33"/>
  <c r="S34"/>
  <c r="S35"/>
  <c r="S36"/>
  <c r="S37"/>
  <c r="S38"/>
  <c r="S39"/>
  <c r="S40"/>
  <c r="S41"/>
  <c r="S42"/>
  <c r="S43"/>
  <c r="S44"/>
  <c r="S45"/>
  <c r="S46"/>
  <c r="S47"/>
  <c r="S48"/>
  <c r="S49"/>
  <c r="S50"/>
  <c r="S51"/>
  <c r="S52"/>
  <c r="S53"/>
  <c r="S54"/>
  <c r="S55"/>
  <c r="S56"/>
  <c r="S57"/>
  <c r="S58"/>
  <c r="S59"/>
  <c r="S16"/>
  <c r="N15"/>
  <c r="R31" i="4"/>
  <c r="R32"/>
  <c r="R28"/>
  <c r="R29"/>
  <c r="R27"/>
  <c r="R25"/>
  <c r="R26"/>
  <c r="R24"/>
  <c r="R22"/>
  <c r="R23"/>
  <c r="R21"/>
  <c r="R20"/>
  <c r="P21"/>
  <c r="Q21"/>
  <c r="P22"/>
  <c r="Q22"/>
  <c r="P23"/>
  <c r="Q23"/>
  <c r="P24"/>
  <c r="Q24"/>
  <c r="P25"/>
  <c r="Q25"/>
  <c r="P26"/>
  <c r="Q26"/>
  <c r="P27"/>
  <c r="Q27"/>
  <c r="P28"/>
  <c r="Q28"/>
  <c r="P29"/>
  <c r="Q29"/>
  <c r="P30"/>
  <c r="Q30"/>
  <c r="R30" s="1"/>
  <c r="J7" s="1"/>
  <c r="J4" s="1"/>
  <c r="J3" s="1"/>
  <c r="J2" s="1"/>
  <c r="P31"/>
  <c r="Q31"/>
  <c r="P32"/>
  <c r="Q32"/>
  <c r="Q20"/>
  <c r="P20"/>
  <c r="H31"/>
  <c r="I31"/>
  <c r="H32"/>
  <c r="I32"/>
  <c r="I30"/>
  <c r="H30"/>
  <c r="H28"/>
  <c r="I28"/>
  <c r="H29"/>
  <c r="I29"/>
  <c r="I27"/>
  <c r="H27"/>
  <c r="H25"/>
  <c r="I25"/>
  <c r="H26"/>
  <c r="I26"/>
  <c r="I24"/>
  <c r="H24"/>
  <c r="H22"/>
  <c r="I22"/>
  <c r="H23"/>
  <c r="I23"/>
  <c r="I21"/>
  <c r="H21"/>
  <c r="J4" i="2"/>
  <c r="J3" s="1"/>
  <c r="J2" s="1"/>
  <c r="B21" i="3"/>
  <c r="A54"/>
  <c r="A1"/>
  <c r="A7"/>
  <c r="I5" i="1"/>
  <c r="J15" s="1"/>
  <c r="J11" s="1"/>
  <c r="I4"/>
  <c r="J7" s="1"/>
  <c r="J3" s="1"/>
  <c r="A2" i="3"/>
  <c r="A65"/>
  <c r="A42"/>
  <c r="A22"/>
  <c r="E51" i="5"/>
  <c r="E53"/>
  <c r="E55"/>
  <c r="E57"/>
  <c r="E59"/>
  <c r="E39"/>
  <c r="E41"/>
  <c r="E43"/>
  <c r="E45"/>
  <c r="E47"/>
  <c r="D38"/>
  <c r="E29"/>
  <c r="E31"/>
  <c r="E33"/>
  <c r="E35"/>
  <c r="E37"/>
  <c r="E20"/>
  <c r="E24"/>
  <c r="D16"/>
  <c r="D19"/>
  <c r="D23"/>
  <c r="E27"/>
  <c r="E16"/>
  <c r="D22"/>
  <c r="D51"/>
  <c r="D53"/>
  <c r="D55"/>
  <c r="D57"/>
  <c r="D59"/>
  <c r="D39"/>
  <c r="D41"/>
  <c r="D43"/>
  <c r="D45"/>
  <c r="D47"/>
  <c r="E38"/>
  <c r="D29"/>
  <c r="D31"/>
  <c r="D33"/>
  <c r="D35"/>
  <c r="D37"/>
  <c r="E19"/>
  <c r="E23"/>
  <c r="D18"/>
  <c r="E50"/>
  <c r="E52"/>
  <c r="E54"/>
  <c r="E56"/>
  <c r="E58"/>
  <c r="D49"/>
  <c r="E40"/>
  <c r="E42"/>
  <c r="E44"/>
  <c r="E46"/>
  <c r="E48"/>
  <c r="E28"/>
  <c r="E30"/>
  <c r="E32"/>
  <c r="E34"/>
  <c r="E36"/>
  <c r="E18"/>
  <c r="E22"/>
  <c r="E26"/>
  <c r="D26"/>
  <c r="D21"/>
  <c r="D17"/>
  <c r="E25"/>
  <c r="D20"/>
  <c r="D27"/>
  <c r="D50"/>
  <c r="D52"/>
  <c r="D54"/>
  <c r="D56"/>
  <c r="D58"/>
  <c r="E49"/>
  <c r="D40"/>
  <c r="D42"/>
  <c r="D44"/>
  <c r="D46"/>
  <c r="D48"/>
  <c r="D28"/>
  <c r="D30"/>
  <c r="D32"/>
  <c r="D34"/>
  <c r="D36"/>
  <c r="E17"/>
  <c r="E21"/>
  <c r="D25"/>
  <c r="D24"/>
  <c r="J21" l="1"/>
  <c r="J17"/>
  <c r="J49"/>
  <c r="J25"/>
  <c r="J26"/>
  <c r="J22"/>
  <c r="J18"/>
  <c r="J36"/>
  <c r="J34"/>
  <c r="J32"/>
  <c r="J30"/>
  <c r="J28"/>
  <c r="J48"/>
  <c r="J46"/>
  <c r="J44"/>
  <c r="J42"/>
  <c r="J40"/>
  <c r="J58"/>
  <c r="J56"/>
  <c r="J54"/>
  <c r="J52"/>
  <c r="J50"/>
  <c r="J23"/>
  <c r="J19"/>
  <c r="J38"/>
  <c r="J27"/>
  <c r="J24"/>
  <c r="J20"/>
  <c r="J37"/>
  <c r="J35"/>
  <c r="J33"/>
  <c r="J31"/>
  <c r="J29"/>
  <c r="J47"/>
  <c r="J45"/>
  <c r="J43"/>
  <c r="J41"/>
  <c r="J39"/>
  <c r="J59"/>
  <c r="J57"/>
  <c r="J55"/>
  <c r="J53"/>
  <c r="J51"/>
  <c r="J16"/>
  <c r="I24"/>
  <c r="L24" s="1"/>
  <c r="I25"/>
  <c r="I36"/>
  <c r="I34"/>
  <c r="I32"/>
  <c r="I30"/>
  <c r="I28"/>
  <c r="I48"/>
  <c r="I46"/>
  <c r="I44"/>
  <c r="I42"/>
  <c r="I40"/>
  <c r="I58"/>
  <c r="I56"/>
  <c r="L56" s="1"/>
  <c r="I54"/>
  <c r="I52"/>
  <c r="I50"/>
  <c r="I27"/>
  <c r="I20"/>
  <c r="L25"/>
  <c r="I17"/>
  <c r="K17" s="1"/>
  <c r="I21"/>
  <c r="I26"/>
  <c r="L36"/>
  <c r="L32"/>
  <c r="L28"/>
  <c r="L46"/>
  <c r="L42"/>
  <c r="I49"/>
  <c r="K49" s="1"/>
  <c r="I18"/>
  <c r="K18" s="1"/>
  <c r="I37"/>
  <c r="I35"/>
  <c r="I33"/>
  <c r="I31"/>
  <c r="L31" s="1"/>
  <c r="I29"/>
  <c r="I47"/>
  <c r="I45"/>
  <c r="I43"/>
  <c r="I41"/>
  <c r="I39"/>
  <c r="I59"/>
  <c r="L59" s="1"/>
  <c r="I57"/>
  <c r="I55"/>
  <c r="I53"/>
  <c r="I51"/>
  <c r="I22"/>
  <c r="L27"/>
  <c r="I23"/>
  <c r="K23" s="1"/>
  <c r="I19"/>
  <c r="I16"/>
  <c r="K16" s="1"/>
  <c r="L35"/>
  <c r="I38"/>
  <c r="L45"/>
  <c r="L51"/>
  <c r="J2" i="1"/>
  <c r="L55" i="5" l="1"/>
  <c r="N55" s="1"/>
  <c r="Q55" s="1"/>
  <c r="L41"/>
  <c r="M41" s="1"/>
  <c r="O41" s="1"/>
  <c r="L52"/>
  <c r="K21"/>
  <c r="K26"/>
  <c r="L53"/>
  <c r="N53" s="1"/>
  <c r="Q53" s="1"/>
  <c r="L57"/>
  <c r="M57" s="1"/>
  <c r="O57" s="1"/>
  <c r="L39"/>
  <c r="N39" s="1"/>
  <c r="L43"/>
  <c r="M43" s="1"/>
  <c r="O43" s="1"/>
  <c r="L47"/>
  <c r="N47" s="1"/>
  <c r="Q47" s="1"/>
  <c r="L29"/>
  <c r="N29" s="1"/>
  <c r="L33"/>
  <c r="M33" s="1"/>
  <c r="O33" s="1"/>
  <c r="L37"/>
  <c r="N37" s="1"/>
  <c r="Q37" s="1"/>
  <c r="K19"/>
  <c r="K22"/>
  <c r="L50"/>
  <c r="N50" s="1"/>
  <c r="L54"/>
  <c r="M54" s="1"/>
  <c r="O54" s="1"/>
  <c r="L58"/>
  <c r="N58" s="1"/>
  <c r="Q58" s="1"/>
  <c r="L40"/>
  <c r="N40" s="1"/>
  <c r="L44"/>
  <c r="M44" s="1"/>
  <c r="O44" s="1"/>
  <c r="L48"/>
  <c r="N48" s="1"/>
  <c r="Q48" s="1"/>
  <c r="L30"/>
  <c r="N30" s="1"/>
  <c r="Q30" s="1"/>
  <c r="L34"/>
  <c r="M34" s="1"/>
  <c r="O34" s="1"/>
  <c r="K38"/>
  <c r="L20"/>
  <c r="M20" s="1"/>
  <c r="O20" s="1"/>
  <c r="M24"/>
  <c r="O24" s="1"/>
  <c r="N24"/>
  <c r="M58"/>
  <c r="O58" s="1"/>
  <c r="M40"/>
  <c r="O40" s="1"/>
  <c r="N44"/>
  <c r="M30"/>
  <c r="O30" s="1"/>
  <c r="N34"/>
  <c r="N57"/>
  <c r="M29"/>
  <c r="O29" s="1"/>
  <c r="N33"/>
  <c r="M27"/>
  <c r="O27" s="1"/>
  <c r="N27"/>
  <c r="Q27" s="1"/>
  <c r="M25"/>
  <c r="O25" s="1"/>
  <c r="N25"/>
  <c r="M52"/>
  <c r="O52" s="1"/>
  <c r="N52"/>
  <c r="Q52" s="1"/>
  <c r="M56"/>
  <c r="O56" s="1"/>
  <c r="N56"/>
  <c r="M42"/>
  <c r="O42" s="1"/>
  <c r="N42"/>
  <c r="M46"/>
  <c r="O46" s="1"/>
  <c r="N46"/>
  <c r="M28"/>
  <c r="O28" s="1"/>
  <c r="N28"/>
  <c r="Q28" s="1"/>
  <c r="M32"/>
  <c r="O32" s="1"/>
  <c r="N32"/>
  <c r="M36"/>
  <c r="O36" s="1"/>
  <c r="N36"/>
  <c r="M51"/>
  <c r="O51" s="1"/>
  <c r="N51"/>
  <c r="M59"/>
  <c r="O59" s="1"/>
  <c r="N59"/>
  <c r="Q59" s="1"/>
  <c r="M45"/>
  <c r="O45" s="1"/>
  <c r="N45"/>
  <c r="M31"/>
  <c r="O31" s="1"/>
  <c r="N31"/>
  <c r="Q31" s="1"/>
  <c r="M35"/>
  <c r="O35" s="1"/>
  <c r="N35"/>
  <c r="L18"/>
  <c r="L26"/>
  <c r="K52"/>
  <c r="K56"/>
  <c r="K42"/>
  <c r="K46"/>
  <c r="K28"/>
  <c r="K32"/>
  <c r="K36"/>
  <c r="K24"/>
  <c r="K53"/>
  <c r="K57"/>
  <c r="K39"/>
  <c r="K43"/>
  <c r="K47"/>
  <c r="K29"/>
  <c r="K33"/>
  <c r="K37"/>
  <c r="L23"/>
  <c r="K27"/>
  <c r="L49"/>
  <c r="L21"/>
  <c r="L38"/>
  <c r="L22"/>
  <c r="K20"/>
  <c r="K50"/>
  <c r="K54"/>
  <c r="K58"/>
  <c r="K40"/>
  <c r="K44"/>
  <c r="K48"/>
  <c r="K30"/>
  <c r="K34"/>
  <c r="K51"/>
  <c r="K55"/>
  <c r="K59"/>
  <c r="K41"/>
  <c r="K45"/>
  <c r="K31"/>
  <c r="K35"/>
  <c r="L19"/>
  <c r="L17"/>
  <c r="K25"/>
  <c r="L16"/>
  <c r="N41" l="1"/>
  <c r="Q41" s="1"/>
  <c r="Q36"/>
  <c r="Q42"/>
  <c r="Q34"/>
  <c r="M55"/>
  <c r="O55" s="1"/>
  <c r="Q25"/>
  <c r="M37"/>
  <c r="O37" s="1"/>
  <c r="Q57"/>
  <c r="Q44"/>
  <c r="Q24"/>
  <c r="Q40"/>
  <c r="Q29"/>
  <c r="Q33"/>
  <c r="Q35"/>
  <c r="Q45"/>
  <c r="Q51"/>
  <c r="Q32"/>
  <c r="Q46"/>
  <c r="Q56"/>
  <c r="M53"/>
  <c r="O53" s="1"/>
  <c r="M47"/>
  <c r="O47" s="1"/>
  <c r="M48"/>
  <c r="O48" s="1"/>
  <c r="N54"/>
  <c r="Q54" s="1"/>
  <c r="Q50"/>
  <c r="Q39"/>
  <c r="N43"/>
  <c r="M50"/>
  <c r="O50" s="1"/>
  <c r="M39"/>
  <c r="O39" s="1"/>
  <c r="N20"/>
  <c r="Q20" s="1"/>
  <c r="P30"/>
  <c r="P58"/>
  <c r="P47"/>
  <c r="P53"/>
  <c r="P31"/>
  <c r="P59"/>
  <c r="P32"/>
  <c r="P46"/>
  <c r="P56"/>
  <c r="P25"/>
  <c r="P37"/>
  <c r="P29"/>
  <c r="P57"/>
  <c r="P44"/>
  <c r="P50"/>
  <c r="P39"/>
  <c r="P35"/>
  <c r="P45"/>
  <c r="P51"/>
  <c r="P36"/>
  <c r="P28"/>
  <c r="P42"/>
  <c r="P52"/>
  <c r="P27"/>
  <c r="P33"/>
  <c r="P34"/>
  <c r="P48"/>
  <c r="P40"/>
  <c r="P54"/>
  <c r="P24"/>
  <c r="P55"/>
  <c r="M16"/>
  <c r="O16" s="1"/>
  <c r="N16"/>
  <c r="M22"/>
  <c r="O22" s="1"/>
  <c r="N22"/>
  <c r="M19"/>
  <c r="O19" s="1"/>
  <c r="N19"/>
  <c r="M49"/>
  <c r="O49" s="1"/>
  <c r="N49"/>
  <c r="M18"/>
  <c r="O18" s="1"/>
  <c r="N18"/>
  <c r="M26"/>
  <c r="O26" s="1"/>
  <c r="N26"/>
  <c r="M17"/>
  <c r="O17" s="1"/>
  <c r="N17"/>
  <c r="M21"/>
  <c r="O21" s="1"/>
  <c r="N21"/>
  <c r="M38"/>
  <c r="O38" s="1"/>
  <c r="N38"/>
  <c r="M23"/>
  <c r="O23" s="1"/>
  <c r="N23"/>
  <c r="P41" l="1"/>
  <c r="P17"/>
  <c r="Q17"/>
  <c r="P16"/>
  <c r="Q16"/>
  <c r="P43"/>
  <c r="Q43"/>
  <c r="P38"/>
  <c r="Q38"/>
  <c r="P19"/>
  <c r="Q19"/>
  <c r="P23"/>
  <c r="Q23"/>
  <c r="P22"/>
  <c r="Q22"/>
  <c r="P20"/>
  <c r="P18"/>
  <c r="Q18"/>
  <c r="P21"/>
  <c r="Q21"/>
  <c r="P26"/>
  <c r="Q26"/>
  <c r="P49"/>
  <c r="Q49"/>
</calcChain>
</file>

<file path=xl/sharedStrings.xml><?xml version="1.0" encoding="utf-8"?>
<sst xmlns="http://schemas.openxmlformats.org/spreadsheetml/2006/main" count="124" uniqueCount="94">
  <si>
    <t>&lt;?xml version="1.0" encoding="UTF-8" standalone="no"?&gt;</t>
  </si>
  <si>
    <t>&lt;!-- Created with Inkscape (http://www.inkscape.org/) --&gt;</t>
  </si>
  <si>
    <t>&lt;svg</t>
  </si>
  <si>
    <t xml:space="preserve">   xmlns:dc="http://purl.org/dc/elements/1.1/"</t>
  </si>
  <si>
    <t xml:space="preserve">   xmlns:cc="http://creativecommons.org/ns#"</t>
  </si>
  <si>
    <t xml:space="preserve">   xmlns:rdf="http://www.w3.org/1999/02/22-rdf-syntax-ns#"</t>
  </si>
  <si>
    <t xml:space="preserve">   xmlns:svg="http://www.w3.org/2000/svg"</t>
  </si>
  <si>
    <t xml:space="preserve">   xmlns="http://www.w3.org/2000/svg"</t>
  </si>
  <si>
    <t xml:space="preserve">   xmlns:sodipodi="http://sodipodi.sourceforge.net/DTD/sodipodi-0.dtd"</t>
  </si>
  <si>
    <t xml:space="preserve">   xmlns:inkscape="http://www.inkscape.org/namespaces/inkscape"</t>
  </si>
  <si>
    <t xml:space="preserve">   width="210mm"</t>
  </si>
  <si>
    <t xml:space="preserve">   height="297mm"</t>
  </si>
  <si>
    <t xml:space="preserve">   viewBox="0 0 210 297"</t>
  </si>
  <si>
    <t xml:space="preserve">   version="1.1"</t>
  </si>
  <si>
    <t xml:space="preserve">   id="svg8"</t>
  </si>
  <si>
    <t xml:space="preserve">   inkscape:version="0.92.5 (2060ec1f9f, 2020-04-08)"</t>
  </si>
  <si>
    <t xml:space="preserve">  &lt;defs</t>
  </si>
  <si>
    <t xml:space="preserve">     id="defs2" /&gt;</t>
  </si>
  <si>
    <t xml:space="preserve">  &lt;sodipodi:namedview</t>
  </si>
  <si>
    <t xml:space="preserve">     id="base"</t>
  </si>
  <si>
    <t xml:space="preserve">     pagecolor="#ffffff"</t>
  </si>
  <si>
    <t xml:space="preserve">     bordercolor="#666666"</t>
  </si>
  <si>
    <t xml:space="preserve">     borderopacity="1.0"</t>
  </si>
  <si>
    <t xml:space="preserve">     inkscape:pageopacity="0.0"</t>
  </si>
  <si>
    <t xml:space="preserve">     inkscape:pageshadow="2"</t>
  </si>
  <si>
    <t xml:space="preserve">     inkscape:zoom="4.7"</t>
  </si>
  <si>
    <t xml:space="preserve">     inkscape:cx="3.4e+02"</t>
  </si>
  <si>
    <t xml:space="preserve">     inkscape:cy="1.1e+03"</t>
  </si>
  <si>
    <t xml:space="preserve">     inkscape:document-units="mm"</t>
  </si>
  <si>
    <t xml:space="preserve">     inkscape:current-layer="layer1"</t>
  </si>
  <si>
    <t xml:space="preserve">     showgrid="false"</t>
  </si>
  <si>
    <t xml:space="preserve">     inkscape:window-width="1366"</t>
  </si>
  <si>
    <t xml:space="preserve">     inkscape:window-height="705"</t>
  </si>
  <si>
    <t xml:space="preserve">     inkscape:window-x="-8"</t>
  </si>
  <si>
    <t xml:space="preserve">     inkscape:window-y="-8"</t>
  </si>
  <si>
    <t xml:space="preserve">     inkscape:window-maximized="1" /&gt;</t>
  </si>
  <si>
    <t xml:space="preserve">  &lt;metadata</t>
  </si>
  <si>
    <t xml:space="preserve">     id="metadata5"&gt;</t>
  </si>
  <si>
    <t xml:space="preserve">    &lt;rdf:RDF&gt;</t>
  </si>
  <si>
    <t xml:space="preserve">      &lt;cc:Work</t>
  </si>
  <si>
    <t xml:space="preserve">         rdf:about=""&gt;</t>
  </si>
  <si>
    <t xml:space="preserve">        &lt;dc:format&gt;image/svg+xml&lt;/dc:format&gt;</t>
  </si>
  <si>
    <t xml:space="preserve">        &lt;dc:type</t>
  </si>
  <si>
    <t xml:space="preserve">           rdf:resource="http://purl.org/dc/dcmitype/StillImage" /&gt;</t>
  </si>
  <si>
    <t xml:space="preserve">        &lt;dc:title /&gt;</t>
  </si>
  <si>
    <t xml:space="preserve">      &lt;/cc:Work&gt;</t>
  </si>
  <si>
    <t xml:space="preserve">    &lt;/rdf:RDF&gt;</t>
  </si>
  <si>
    <t xml:space="preserve">  &lt;/metadata&gt;</t>
  </si>
  <si>
    <t xml:space="preserve">  &lt;g</t>
  </si>
  <si>
    <t xml:space="preserve">     inkscape:label="Layer 1"</t>
  </si>
  <si>
    <t xml:space="preserve">     inkscape:groupmode="layer"</t>
  </si>
  <si>
    <t xml:space="preserve">  &lt;/g&gt;</t>
  </si>
  <si>
    <t>&lt;/svg&gt;</t>
  </si>
  <si>
    <t>&lt;path</t>
  </si>
  <si>
    <t xml:space="preserve">       style="fill:none;stroke:#000000;stroke-width:0.26px;stroke-linecap:butt;stroke-linejoin:miter;stroke-opacity:1"</t>
  </si>
  <si>
    <t xml:space="preserve">       id="path10"</t>
  </si>
  <si>
    <t xml:space="preserve">       inkscape:connector-curvature="0" /&gt;</t>
  </si>
  <si>
    <t xml:space="preserve">    &lt;path</t>
  </si>
  <si>
    <t xml:space="preserve">       id="path12"</t>
  </si>
  <si>
    <t>L</t>
  </si>
  <si>
    <t>W</t>
  </si>
  <si>
    <t>espelho11</t>
  </si>
  <si>
    <t xml:space="preserve">     id="layer1"&gt;</t>
  </si>
  <si>
    <t>espelho12</t>
  </si>
  <si>
    <t xml:space="preserve">       id="path16"</t>
  </si>
  <si>
    <t xml:space="preserve">       inkscape:connector-curvature="0"</t>
  </si>
  <si>
    <t xml:space="preserve">       sodipodi:nodetypes="cc" /&gt;</t>
  </si>
  <si>
    <t xml:space="preserve">       d="M 100.00, 0.00   C 87.00, 7.00    87.00, 11.00    93.00, 11.00"</t>
  </si>
  <si>
    <t>espelho13</t>
  </si>
  <si>
    <t xml:space="preserve">       id="path13"</t>
  </si>
  <si>
    <t xml:space="preserve">       sodipodi:nodetypes="cszsc" /&gt;</t>
  </si>
  <si>
    <t xml:space="preserve">       d="m 100,0 c -13,7      -13,11     -7,11    ||  4,0     4,3     -3,8   ||  -7,5    -9,4     -8,1  ||  1,-5     -6,-2     -7,5"</t>
  </si>
  <si>
    <t>https://ru.qwe.wiki/wiki/bezier_curve#Cubic_B%C3%A9zier_curves</t>
  </si>
  <si>
    <t>x</t>
  </si>
  <si>
    <t>y</t>
  </si>
  <si>
    <t>https://www.breezetree.com/articles/excel-autoshapes-vba</t>
  </si>
  <si>
    <t>https://www.wikihow.com/Acquire-B%C3%A9zier-Curves-Using-Excel</t>
  </si>
  <si>
    <t>G21 G90 G40</t>
  </si>
  <si>
    <t>G00 Z06.0 S8000 M3</t>
  </si>
  <si>
    <t>G00 X0.00 Y0.00</t>
  </si>
  <si>
    <t>M05</t>
  </si>
  <si>
    <t>M30</t>
  </si>
  <si>
    <t>G00 X26.21 Y18.35</t>
  </si>
  <si>
    <t>G01 Z-5 F10</t>
  </si>
  <si>
    <t>G00 Z00.0</t>
  </si>
  <si>
    <t>G00 Z05.0</t>
  </si>
  <si>
    <t>coordenadas polares</t>
  </si>
  <si>
    <t>distância</t>
  </si>
  <si>
    <t>ângulo</t>
  </si>
  <si>
    <t>graus</t>
  </si>
  <si>
    <t>radianos</t>
  </si>
  <si>
    <t>volta</t>
  </si>
  <si>
    <t>coordenadas cartesianas</t>
  </si>
  <si>
    <t>centro</t>
  </si>
</sst>
</file>

<file path=xl/styles.xml><?xml version="1.0" encoding="utf-8"?>
<styleSheet xmlns="http://schemas.openxmlformats.org/spreadsheetml/2006/main">
  <numFmts count="1">
    <numFmt numFmtId="164" formatCode="0.000"/>
  </numFmts>
  <fonts count="3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2" fontId="0" fillId="0" borderId="0" xfId="0" applyNumberFormat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7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0" fillId="6" borderId="0" xfId="0" applyFill="1" applyAlignment="1">
      <alignment horizontal="center"/>
    </xf>
    <xf numFmtId="2" fontId="0" fillId="2" borderId="0" xfId="0" applyNumberFormat="1" applyFill="1"/>
    <xf numFmtId="0" fontId="0" fillId="0" borderId="0" xfId="0" applyAlignment="1">
      <alignment horizontal="right"/>
    </xf>
    <xf numFmtId="0" fontId="0" fillId="0" borderId="1" xfId="0" applyBorder="1"/>
    <xf numFmtId="0" fontId="0" fillId="0" borderId="1" xfId="0" applyBorder="1" applyAlignment="1">
      <alignment horizontal="center"/>
    </xf>
    <xf numFmtId="164" fontId="0" fillId="0" borderId="0" xfId="0" applyNumberFormat="1"/>
    <xf numFmtId="164" fontId="0" fillId="0" borderId="1" xfId="0" applyNumberFormat="1" applyBorder="1"/>
    <xf numFmtId="2" fontId="0" fillId="8" borderId="0" xfId="0" applyNumberFormat="1" applyFill="1"/>
    <xf numFmtId="164" fontId="0" fillId="8" borderId="0" xfId="0" applyNumberFormat="1" applyFill="1"/>
    <xf numFmtId="164" fontId="0" fillId="0" borderId="1" xfId="0" applyNumberFormat="1" applyBorder="1" applyProtection="1"/>
    <xf numFmtId="0" fontId="0" fillId="2" borderId="0" xfId="0" applyFill="1" applyAlignment="1">
      <alignment horizontal="center"/>
    </xf>
    <xf numFmtId="0" fontId="2" fillId="0" borderId="6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</cellXfs>
  <cellStyles count="1">
    <cellStyle name="Обычный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238126</xdr:colOff>
      <xdr:row>0</xdr:row>
      <xdr:rowOff>180976</xdr:rowOff>
    </xdr:from>
    <xdr:to>
      <xdr:col>5</xdr:col>
      <xdr:colOff>266700</xdr:colOff>
      <xdr:row>17</xdr:row>
      <xdr:rowOff>176296</xdr:rowOff>
    </xdr:to>
    <xdr:pic>
      <xdr:nvPicPr>
        <xdr:cNvPr id="2" name="Рисунок 1" descr="Espelo1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38126" y="180976"/>
          <a:ext cx="3076574" cy="32338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114300</xdr:colOff>
      <xdr:row>1</xdr:row>
      <xdr:rowOff>104775</xdr:rowOff>
    </xdr:from>
    <xdr:to>
      <xdr:col>8</xdr:col>
      <xdr:colOff>114300</xdr:colOff>
      <xdr:row>17</xdr:row>
      <xdr:rowOff>152400</xdr:rowOff>
    </xdr:to>
    <xdr:pic>
      <xdr:nvPicPr>
        <xdr:cNvPr id="2" name="Рисунок 1" descr="cubic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14300" y="295275"/>
          <a:ext cx="4876800" cy="3095625"/>
        </a:xfrm>
        <a:prstGeom prst="rect">
          <a:avLst/>
        </a:prstGeom>
      </xdr:spPr>
    </xdr:pic>
    <xdr:clientData/>
  </xdr:twoCellAnchor>
  <xdr:twoCellAnchor editAs="oneCell">
    <xdr:from>
      <xdr:col>9</xdr:col>
      <xdr:colOff>295275</xdr:colOff>
      <xdr:row>11</xdr:row>
      <xdr:rowOff>85724</xdr:rowOff>
    </xdr:from>
    <xdr:to>
      <xdr:col>14</xdr:col>
      <xdr:colOff>245633</xdr:colOff>
      <xdr:row>18</xdr:row>
      <xdr:rowOff>152399</xdr:rowOff>
    </xdr:to>
    <xdr:pic>
      <xdr:nvPicPr>
        <xdr:cNvPr id="4" name="Рисунок 3" descr="Espelho2.jp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5781675" y="2181224"/>
          <a:ext cx="2998358" cy="140017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123825</xdr:colOff>
      <xdr:row>2</xdr:row>
      <xdr:rowOff>19051</xdr:rowOff>
    </xdr:from>
    <xdr:to>
      <xdr:col>6</xdr:col>
      <xdr:colOff>342900</xdr:colOff>
      <xdr:row>20</xdr:row>
      <xdr:rowOff>49879</xdr:rowOff>
    </xdr:to>
    <xdr:pic>
      <xdr:nvPicPr>
        <xdr:cNvPr id="2" name="Рисунок 1" descr="Espelho3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23825" y="400051"/>
          <a:ext cx="3876675" cy="345982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123825</xdr:colOff>
      <xdr:row>1</xdr:row>
      <xdr:rowOff>104775</xdr:rowOff>
    </xdr:from>
    <xdr:to>
      <xdr:col>9</xdr:col>
      <xdr:colOff>333375</xdr:colOff>
      <xdr:row>4</xdr:row>
      <xdr:rowOff>0</xdr:rowOff>
    </xdr:to>
    <xdr:pic>
      <xdr:nvPicPr>
        <xdr:cNvPr id="4099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3825" y="295275"/>
          <a:ext cx="5695950" cy="466725"/>
        </a:xfrm>
        <a:prstGeom prst="rect">
          <a:avLst/>
        </a:prstGeom>
        <a:noFill/>
        <a:ln>
          <a:solidFill>
            <a:schemeClr val="accent1"/>
          </a:solidFill>
        </a:ln>
      </xdr:spPr>
    </xdr:pic>
    <xdr:clientData/>
  </xdr:twoCellAnchor>
  <xdr:twoCellAnchor>
    <xdr:from>
      <xdr:col>14</xdr:col>
      <xdr:colOff>355600</xdr:colOff>
      <xdr:row>6</xdr:row>
      <xdr:rowOff>127000</xdr:rowOff>
    </xdr:from>
    <xdr:to>
      <xdr:col>16</xdr:col>
      <xdr:colOff>406400</xdr:colOff>
      <xdr:row>6</xdr:row>
      <xdr:rowOff>127000</xdr:rowOff>
    </xdr:to>
    <xdr:cxnSp macro="">
      <xdr:nvCxnSpPr>
        <xdr:cNvPr id="5065" name="Прямая соединительная линия 5064"/>
        <xdr:cNvCxnSpPr/>
      </xdr:nvCxnSpPr>
      <xdr:spPr>
        <a:xfrm>
          <a:off x="8890000" y="1270000"/>
          <a:ext cx="1270000" cy="0"/>
        </a:xfrm>
        <a:prstGeom prst="line">
          <a:avLst/>
        </a:prstGeom>
        <a:ln w="381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406400</xdr:colOff>
      <xdr:row>6</xdr:row>
      <xdr:rowOff>127000</xdr:rowOff>
    </xdr:from>
    <xdr:to>
      <xdr:col>16</xdr:col>
      <xdr:colOff>406400</xdr:colOff>
      <xdr:row>12</xdr:row>
      <xdr:rowOff>254000</xdr:rowOff>
    </xdr:to>
    <xdr:cxnSp macro="">
      <xdr:nvCxnSpPr>
        <xdr:cNvPr id="5066" name="Прямая соединительная линия 5065"/>
        <xdr:cNvCxnSpPr/>
      </xdr:nvCxnSpPr>
      <xdr:spPr>
        <a:xfrm>
          <a:off x="10160000" y="1270000"/>
          <a:ext cx="0" cy="1270000"/>
        </a:xfrm>
        <a:prstGeom prst="line">
          <a:avLst/>
        </a:prstGeom>
        <a:ln w="381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355600</xdr:colOff>
      <xdr:row>12</xdr:row>
      <xdr:rowOff>254000</xdr:rowOff>
    </xdr:from>
    <xdr:to>
      <xdr:col>16</xdr:col>
      <xdr:colOff>406400</xdr:colOff>
      <xdr:row>12</xdr:row>
      <xdr:rowOff>254000</xdr:rowOff>
    </xdr:to>
    <xdr:cxnSp macro="">
      <xdr:nvCxnSpPr>
        <xdr:cNvPr id="5067" name="Прямая соединительная линия 5066"/>
        <xdr:cNvCxnSpPr/>
      </xdr:nvCxnSpPr>
      <xdr:spPr>
        <a:xfrm flipH="1">
          <a:off x="8890000" y="2540000"/>
          <a:ext cx="1270000" cy="0"/>
        </a:xfrm>
        <a:prstGeom prst="line">
          <a:avLst/>
        </a:prstGeom>
        <a:ln w="381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355600</xdr:colOff>
      <xdr:row>6</xdr:row>
      <xdr:rowOff>127000</xdr:rowOff>
    </xdr:from>
    <xdr:to>
      <xdr:col>14</xdr:col>
      <xdr:colOff>355600</xdr:colOff>
      <xdr:row>12</xdr:row>
      <xdr:rowOff>254000</xdr:rowOff>
    </xdr:to>
    <xdr:cxnSp macro="">
      <xdr:nvCxnSpPr>
        <xdr:cNvPr id="5068" name="Прямая соединительная линия 5067"/>
        <xdr:cNvCxnSpPr/>
      </xdr:nvCxnSpPr>
      <xdr:spPr>
        <a:xfrm flipV="1">
          <a:off x="8890000" y="1270000"/>
          <a:ext cx="0" cy="1270000"/>
        </a:xfrm>
        <a:prstGeom prst="line">
          <a:avLst/>
        </a:prstGeom>
        <a:ln w="381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361733</xdr:colOff>
      <xdr:row>6</xdr:row>
      <xdr:rowOff>127000</xdr:rowOff>
    </xdr:from>
    <xdr:to>
      <xdr:col>16</xdr:col>
      <xdr:colOff>406400</xdr:colOff>
      <xdr:row>6</xdr:row>
      <xdr:rowOff>152514</xdr:rowOff>
    </xdr:to>
    <xdr:cxnSp macro="">
      <xdr:nvCxnSpPr>
        <xdr:cNvPr id="5069" name="Прямая соединительная линия 5068"/>
        <xdr:cNvCxnSpPr/>
      </xdr:nvCxnSpPr>
      <xdr:spPr>
        <a:xfrm flipH="1">
          <a:off x="10115333" y="1270000"/>
          <a:ext cx="44667" cy="25514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326440</xdr:colOff>
      <xdr:row>6</xdr:row>
      <xdr:rowOff>152514</xdr:rowOff>
    </xdr:from>
    <xdr:to>
      <xdr:col>16</xdr:col>
      <xdr:colOff>361733</xdr:colOff>
      <xdr:row>6</xdr:row>
      <xdr:rowOff>175666</xdr:rowOff>
    </xdr:to>
    <xdr:cxnSp macro="">
      <xdr:nvCxnSpPr>
        <xdr:cNvPr id="5070" name="Прямая соединительная линия 5069"/>
        <xdr:cNvCxnSpPr/>
      </xdr:nvCxnSpPr>
      <xdr:spPr>
        <a:xfrm flipH="1">
          <a:off x="10080040" y="1295514"/>
          <a:ext cx="35293" cy="23152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299986</xdr:colOff>
      <xdr:row>6</xdr:row>
      <xdr:rowOff>175666</xdr:rowOff>
    </xdr:from>
    <xdr:to>
      <xdr:col>16</xdr:col>
      <xdr:colOff>326440</xdr:colOff>
      <xdr:row>7</xdr:row>
      <xdr:rowOff>5880</xdr:rowOff>
    </xdr:to>
    <xdr:cxnSp macro="">
      <xdr:nvCxnSpPr>
        <xdr:cNvPr id="5071" name="Прямая соединительная линия 5070"/>
        <xdr:cNvCxnSpPr/>
      </xdr:nvCxnSpPr>
      <xdr:spPr>
        <a:xfrm flipH="1">
          <a:off x="10053586" y="1318666"/>
          <a:ext cx="26454" cy="20714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281838</xdr:colOff>
      <xdr:row>7</xdr:row>
      <xdr:rowOff>5880</xdr:rowOff>
    </xdr:from>
    <xdr:to>
      <xdr:col>16</xdr:col>
      <xdr:colOff>299986</xdr:colOff>
      <xdr:row>7</xdr:row>
      <xdr:rowOff>24079</xdr:rowOff>
    </xdr:to>
    <xdr:cxnSp macro="">
      <xdr:nvCxnSpPr>
        <xdr:cNvPr id="5072" name="Прямая соединительная линия 5071"/>
        <xdr:cNvCxnSpPr/>
      </xdr:nvCxnSpPr>
      <xdr:spPr>
        <a:xfrm flipH="1">
          <a:off x="10035438" y="1339380"/>
          <a:ext cx="18148" cy="18199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271462</xdr:colOff>
      <xdr:row>7</xdr:row>
      <xdr:rowOff>24079</xdr:rowOff>
    </xdr:from>
    <xdr:to>
      <xdr:col>16</xdr:col>
      <xdr:colOff>281838</xdr:colOff>
      <xdr:row>7</xdr:row>
      <xdr:rowOff>39687</xdr:rowOff>
    </xdr:to>
    <xdr:cxnSp macro="">
      <xdr:nvCxnSpPr>
        <xdr:cNvPr id="5073" name="Прямая соединительная линия 5072"/>
        <xdr:cNvCxnSpPr/>
      </xdr:nvCxnSpPr>
      <xdr:spPr>
        <a:xfrm flipH="1">
          <a:off x="10025062" y="1357579"/>
          <a:ext cx="10376" cy="15608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268325</xdr:colOff>
      <xdr:row>7</xdr:row>
      <xdr:rowOff>39687</xdr:rowOff>
    </xdr:from>
    <xdr:to>
      <xdr:col>16</xdr:col>
      <xdr:colOff>271462</xdr:colOff>
      <xdr:row>7</xdr:row>
      <xdr:rowOff>52628</xdr:rowOff>
    </xdr:to>
    <xdr:cxnSp macro="">
      <xdr:nvCxnSpPr>
        <xdr:cNvPr id="5074" name="Прямая соединительная линия 5073"/>
        <xdr:cNvCxnSpPr/>
      </xdr:nvCxnSpPr>
      <xdr:spPr>
        <a:xfrm flipH="1">
          <a:off x="10021925" y="1373187"/>
          <a:ext cx="3137" cy="12941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268325</xdr:colOff>
      <xdr:row>7</xdr:row>
      <xdr:rowOff>52628</xdr:rowOff>
    </xdr:from>
    <xdr:to>
      <xdr:col>16</xdr:col>
      <xdr:colOff>271894</xdr:colOff>
      <xdr:row>7</xdr:row>
      <xdr:rowOff>62826</xdr:rowOff>
    </xdr:to>
    <xdr:cxnSp macro="">
      <xdr:nvCxnSpPr>
        <xdr:cNvPr id="5075" name="Прямая соединительная линия 5074"/>
        <xdr:cNvCxnSpPr/>
      </xdr:nvCxnSpPr>
      <xdr:spPr>
        <a:xfrm>
          <a:off x="10021925" y="1386128"/>
          <a:ext cx="3569" cy="10198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271894</xdr:colOff>
      <xdr:row>7</xdr:row>
      <xdr:rowOff>62826</xdr:rowOff>
    </xdr:from>
    <xdr:to>
      <xdr:col>16</xdr:col>
      <xdr:colOff>281635</xdr:colOff>
      <xdr:row>7</xdr:row>
      <xdr:rowOff>70205</xdr:rowOff>
    </xdr:to>
    <xdr:cxnSp macro="">
      <xdr:nvCxnSpPr>
        <xdr:cNvPr id="5076" name="Прямая соединительная линия 5075"/>
        <xdr:cNvCxnSpPr/>
      </xdr:nvCxnSpPr>
      <xdr:spPr>
        <a:xfrm>
          <a:off x="10025494" y="1396326"/>
          <a:ext cx="9741" cy="7379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281635</xdr:colOff>
      <xdr:row>7</xdr:row>
      <xdr:rowOff>70205</xdr:rowOff>
    </xdr:from>
    <xdr:to>
      <xdr:col>16</xdr:col>
      <xdr:colOff>297015</xdr:colOff>
      <xdr:row>7</xdr:row>
      <xdr:rowOff>74688</xdr:rowOff>
    </xdr:to>
    <xdr:cxnSp macro="">
      <xdr:nvCxnSpPr>
        <xdr:cNvPr id="5077" name="Прямая соединительная линия 5076"/>
        <xdr:cNvCxnSpPr/>
      </xdr:nvCxnSpPr>
      <xdr:spPr>
        <a:xfrm>
          <a:off x="10035235" y="1403705"/>
          <a:ext cx="15380" cy="4483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297015</xdr:colOff>
      <xdr:row>7</xdr:row>
      <xdr:rowOff>74688</xdr:rowOff>
    </xdr:from>
    <xdr:to>
      <xdr:col>16</xdr:col>
      <xdr:colOff>317500</xdr:colOff>
      <xdr:row>7</xdr:row>
      <xdr:rowOff>76200</xdr:rowOff>
    </xdr:to>
    <xdr:cxnSp macro="">
      <xdr:nvCxnSpPr>
        <xdr:cNvPr id="5078" name="Прямая соединительная линия 5077"/>
        <xdr:cNvCxnSpPr/>
      </xdr:nvCxnSpPr>
      <xdr:spPr>
        <a:xfrm>
          <a:off x="10050615" y="1408188"/>
          <a:ext cx="20485" cy="1512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317500</xdr:colOff>
      <xdr:row>7</xdr:row>
      <xdr:rowOff>76200</xdr:rowOff>
    </xdr:from>
    <xdr:to>
      <xdr:col>16</xdr:col>
      <xdr:colOff>331178</xdr:colOff>
      <xdr:row>7</xdr:row>
      <xdr:rowOff>77330</xdr:rowOff>
    </xdr:to>
    <xdr:cxnSp macro="">
      <xdr:nvCxnSpPr>
        <xdr:cNvPr id="5079" name="Прямая соединительная линия 5078"/>
        <xdr:cNvCxnSpPr/>
      </xdr:nvCxnSpPr>
      <xdr:spPr>
        <a:xfrm>
          <a:off x="10071100" y="1409700"/>
          <a:ext cx="13678" cy="1130"/>
        </a:xfrm>
        <a:prstGeom prst="line">
          <a:avLst/>
        </a:prstGeom>
        <a:ln w="635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331178</xdr:colOff>
      <xdr:row>7</xdr:row>
      <xdr:rowOff>77330</xdr:rowOff>
    </xdr:from>
    <xdr:to>
      <xdr:col>16</xdr:col>
      <xdr:colOff>341579</xdr:colOff>
      <xdr:row>7</xdr:row>
      <xdr:rowOff>80670</xdr:rowOff>
    </xdr:to>
    <xdr:cxnSp macro="">
      <xdr:nvCxnSpPr>
        <xdr:cNvPr id="5080" name="Прямая соединительная линия 5079"/>
        <xdr:cNvCxnSpPr/>
      </xdr:nvCxnSpPr>
      <xdr:spPr>
        <a:xfrm>
          <a:off x="10084778" y="1410830"/>
          <a:ext cx="10401" cy="3340"/>
        </a:xfrm>
        <a:prstGeom prst="line">
          <a:avLst/>
        </a:prstGeom>
        <a:ln w="635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341579</xdr:colOff>
      <xdr:row>7</xdr:row>
      <xdr:rowOff>80670</xdr:rowOff>
    </xdr:from>
    <xdr:to>
      <xdr:col>16</xdr:col>
      <xdr:colOff>348475</xdr:colOff>
      <xdr:row>7</xdr:row>
      <xdr:rowOff>86144</xdr:rowOff>
    </xdr:to>
    <xdr:cxnSp macro="">
      <xdr:nvCxnSpPr>
        <xdr:cNvPr id="5081" name="Прямая соединительная линия 5080"/>
        <xdr:cNvCxnSpPr/>
      </xdr:nvCxnSpPr>
      <xdr:spPr>
        <a:xfrm>
          <a:off x="10095179" y="1414170"/>
          <a:ext cx="6896" cy="5474"/>
        </a:xfrm>
        <a:prstGeom prst="line">
          <a:avLst/>
        </a:prstGeom>
        <a:ln w="635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348475</xdr:colOff>
      <xdr:row>7</xdr:row>
      <xdr:rowOff>86144</xdr:rowOff>
    </xdr:from>
    <xdr:to>
      <xdr:col>16</xdr:col>
      <xdr:colOff>351637</xdr:colOff>
      <xdr:row>7</xdr:row>
      <xdr:rowOff>93675</xdr:rowOff>
    </xdr:to>
    <xdr:cxnSp macro="">
      <xdr:nvCxnSpPr>
        <xdr:cNvPr id="5082" name="Прямая соединительная линия 5081"/>
        <xdr:cNvCxnSpPr/>
      </xdr:nvCxnSpPr>
      <xdr:spPr>
        <a:xfrm>
          <a:off x="10102075" y="1419644"/>
          <a:ext cx="3162" cy="7531"/>
        </a:xfrm>
        <a:prstGeom prst="line">
          <a:avLst/>
        </a:prstGeom>
        <a:ln w="635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350837</xdr:colOff>
      <xdr:row>7</xdr:row>
      <xdr:rowOff>93675</xdr:rowOff>
    </xdr:from>
    <xdr:to>
      <xdr:col>16</xdr:col>
      <xdr:colOff>351637</xdr:colOff>
      <xdr:row>7</xdr:row>
      <xdr:rowOff>103187</xdr:rowOff>
    </xdr:to>
    <xdr:cxnSp macro="">
      <xdr:nvCxnSpPr>
        <xdr:cNvPr id="5083" name="Прямая соединительная линия 5082"/>
        <xdr:cNvCxnSpPr/>
      </xdr:nvCxnSpPr>
      <xdr:spPr>
        <a:xfrm flipH="1">
          <a:off x="10104437" y="1427175"/>
          <a:ext cx="800" cy="9512"/>
        </a:xfrm>
        <a:prstGeom prst="line">
          <a:avLst/>
        </a:prstGeom>
        <a:ln w="635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345846</xdr:colOff>
      <xdr:row>7</xdr:row>
      <xdr:rowOff>103187</xdr:rowOff>
    </xdr:from>
    <xdr:to>
      <xdr:col>16</xdr:col>
      <xdr:colOff>350837</xdr:colOff>
      <xdr:row>7</xdr:row>
      <xdr:rowOff>114604</xdr:rowOff>
    </xdr:to>
    <xdr:cxnSp macro="">
      <xdr:nvCxnSpPr>
        <xdr:cNvPr id="5084" name="Прямая соединительная линия 5083"/>
        <xdr:cNvCxnSpPr/>
      </xdr:nvCxnSpPr>
      <xdr:spPr>
        <a:xfrm flipH="1">
          <a:off x="10099446" y="1436687"/>
          <a:ext cx="4991" cy="11417"/>
        </a:xfrm>
        <a:prstGeom prst="line">
          <a:avLst/>
        </a:prstGeom>
        <a:ln w="635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336436</xdr:colOff>
      <xdr:row>7</xdr:row>
      <xdr:rowOff>114604</xdr:rowOff>
    </xdr:from>
    <xdr:to>
      <xdr:col>16</xdr:col>
      <xdr:colOff>345846</xdr:colOff>
      <xdr:row>7</xdr:row>
      <xdr:rowOff>127850</xdr:rowOff>
    </xdr:to>
    <xdr:cxnSp macro="">
      <xdr:nvCxnSpPr>
        <xdr:cNvPr id="5085" name="Прямая соединительная линия 5084"/>
        <xdr:cNvCxnSpPr/>
      </xdr:nvCxnSpPr>
      <xdr:spPr>
        <a:xfrm flipH="1">
          <a:off x="10090036" y="1448104"/>
          <a:ext cx="9410" cy="13246"/>
        </a:xfrm>
        <a:prstGeom prst="line">
          <a:avLst/>
        </a:prstGeom>
        <a:ln w="635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322376</xdr:colOff>
      <xdr:row>7</xdr:row>
      <xdr:rowOff>127850</xdr:rowOff>
    </xdr:from>
    <xdr:to>
      <xdr:col>16</xdr:col>
      <xdr:colOff>336436</xdr:colOff>
      <xdr:row>7</xdr:row>
      <xdr:rowOff>142849</xdr:rowOff>
    </xdr:to>
    <xdr:cxnSp macro="">
      <xdr:nvCxnSpPr>
        <xdr:cNvPr id="5086" name="Прямая соединительная линия 5085"/>
        <xdr:cNvCxnSpPr/>
      </xdr:nvCxnSpPr>
      <xdr:spPr>
        <a:xfrm flipH="1">
          <a:off x="10075976" y="1461350"/>
          <a:ext cx="14060" cy="14999"/>
        </a:xfrm>
        <a:prstGeom prst="line">
          <a:avLst/>
        </a:prstGeom>
        <a:ln w="635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303441</xdr:colOff>
      <xdr:row>7</xdr:row>
      <xdr:rowOff>142849</xdr:rowOff>
    </xdr:from>
    <xdr:to>
      <xdr:col>16</xdr:col>
      <xdr:colOff>322376</xdr:colOff>
      <xdr:row>7</xdr:row>
      <xdr:rowOff>159524</xdr:rowOff>
    </xdr:to>
    <xdr:cxnSp macro="">
      <xdr:nvCxnSpPr>
        <xdr:cNvPr id="5087" name="Прямая соединительная линия 5086"/>
        <xdr:cNvCxnSpPr/>
      </xdr:nvCxnSpPr>
      <xdr:spPr>
        <a:xfrm flipH="1">
          <a:off x="10057041" y="1476349"/>
          <a:ext cx="18935" cy="16675"/>
        </a:xfrm>
        <a:prstGeom prst="line">
          <a:avLst/>
        </a:prstGeom>
        <a:ln w="635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279400</xdr:colOff>
      <xdr:row>7</xdr:row>
      <xdr:rowOff>159524</xdr:rowOff>
    </xdr:from>
    <xdr:to>
      <xdr:col>16</xdr:col>
      <xdr:colOff>303441</xdr:colOff>
      <xdr:row>7</xdr:row>
      <xdr:rowOff>177800</xdr:rowOff>
    </xdr:to>
    <xdr:cxnSp macro="">
      <xdr:nvCxnSpPr>
        <xdr:cNvPr id="5088" name="Прямая соединительная линия 5087"/>
        <xdr:cNvCxnSpPr/>
      </xdr:nvCxnSpPr>
      <xdr:spPr>
        <a:xfrm flipH="1">
          <a:off x="10033000" y="1493024"/>
          <a:ext cx="24041" cy="18276"/>
        </a:xfrm>
        <a:prstGeom prst="line">
          <a:avLst/>
        </a:prstGeom>
        <a:ln w="635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254609</xdr:colOff>
      <xdr:row>7</xdr:row>
      <xdr:rowOff>177800</xdr:rowOff>
    </xdr:from>
    <xdr:to>
      <xdr:col>16</xdr:col>
      <xdr:colOff>279400</xdr:colOff>
      <xdr:row>8</xdr:row>
      <xdr:rowOff>4114</xdr:rowOff>
    </xdr:to>
    <xdr:cxnSp macro="">
      <xdr:nvCxnSpPr>
        <xdr:cNvPr id="5089" name="Прямая соединительная линия 5088"/>
        <xdr:cNvCxnSpPr/>
      </xdr:nvCxnSpPr>
      <xdr:spPr>
        <a:xfrm flipH="1">
          <a:off x="10008209" y="1511300"/>
          <a:ext cx="24791" cy="16814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233476</xdr:colOff>
      <xdr:row>8</xdr:row>
      <xdr:rowOff>4114</xdr:rowOff>
    </xdr:from>
    <xdr:to>
      <xdr:col>16</xdr:col>
      <xdr:colOff>254609</xdr:colOff>
      <xdr:row>8</xdr:row>
      <xdr:rowOff>16662</xdr:rowOff>
    </xdr:to>
    <xdr:cxnSp macro="">
      <xdr:nvCxnSpPr>
        <xdr:cNvPr id="5090" name="Прямая соединительная линия 5089"/>
        <xdr:cNvCxnSpPr/>
      </xdr:nvCxnSpPr>
      <xdr:spPr>
        <a:xfrm flipH="1">
          <a:off x="9987076" y="1528114"/>
          <a:ext cx="21133" cy="12548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215848</xdr:colOff>
      <xdr:row>8</xdr:row>
      <xdr:rowOff>16662</xdr:rowOff>
    </xdr:from>
    <xdr:to>
      <xdr:col>16</xdr:col>
      <xdr:colOff>233476</xdr:colOff>
      <xdr:row>8</xdr:row>
      <xdr:rowOff>25247</xdr:rowOff>
    </xdr:to>
    <xdr:cxnSp macro="">
      <xdr:nvCxnSpPr>
        <xdr:cNvPr id="5091" name="Прямая соединительная линия 5090"/>
        <xdr:cNvCxnSpPr/>
      </xdr:nvCxnSpPr>
      <xdr:spPr>
        <a:xfrm flipH="1">
          <a:off x="9969448" y="1540662"/>
          <a:ext cx="17628" cy="8585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201574</xdr:colOff>
      <xdr:row>8</xdr:row>
      <xdr:rowOff>25247</xdr:rowOff>
    </xdr:from>
    <xdr:to>
      <xdr:col>16</xdr:col>
      <xdr:colOff>215848</xdr:colOff>
      <xdr:row>8</xdr:row>
      <xdr:rowOff>30175</xdr:rowOff>
    </xdr:to>
    <xdr:cxnSp macro="">
      <xdr:nvCxnSpPr>
        <xdr:cNvPr id="5092" name="Прямая соединительная линия 5091"/>
        <xdr:cNvCxnSpPr/>
      </xdr:nvCxnSpPr>
      <xdr:spPr>
        <a:xfrm flipH="1">
          <a:off x="9955174" y="1549247"/>
          <a:ext cx="14274" cy="4928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190500</xdr:colOff>
      <xdr:row>8</xdr:row>
      <xdr:rowOff>30175</xdr:rowOff>
    </xdr:from>
    <xdr:to>
      <xdr:col>16</xdr:col>
      <xdr:colOff>201574</xdr:colOff>
      <xdr:row>8</xdr:row>
      <xdr:rowOff>31750</xdr:rowOff>
    </xdr:to>
    <xdr:cxnSp macro="">
      <xdr:nvCxnSpPr>
        <xdr:cNvPr id="5093" name="Прямая соединительная линия 5092"/>
        <xdr:cNvCxnSpPr/>
      </xdr:nvCxnSpPr>
      <xdr:spPr>
        <a:xfrm flipH="1">
          <a:off x="9944100" y="1554175"/>
          <a:ext cx="11074" cy="1575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182473</xdr:colOff>
      <xdr:row>8</xdr:row>
      <xdr:rowOff>30276</xdr:rowOff>
    </xdr:from>
    <xdr:to>
      <xdr:col>16</xdr:col>
      <xdr:colOff>190500</xdr:colOff>
      <xdr:row>8</xdr:row>
      <xdr:rowOff>31750</xdr:rowOff>
    </xdr:to>
    <xdr:cxnSp macro="">
      <xdr:nvCxnSpPr>
        <xdr:cNvPr id="5094" name="Прямая соединительная линия 5093"/>
        <xdr:cNvCxnSpPr/>
      </xdr:nvCxnSpPr>
      <xdr:spPr>
        <a:xfrm flipH="1" flipV="1">
          <a:off x="9936073" y="1554276"/>
          <a:ext cx="8027" cy="1474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177342</xdr:colOff>
      <xdr:row>8</xdr:row>
      <xdr:rowOff>26060</xdr:rowOff>
    </xdr:from>
    <xdr:to>
      <xdr:col>16</xdr:col>
      <xdr:colOff>182473</xdr:colOff>
      <xdr:row>8</xdr:row>
      <xdr:rowOff>30276</xdr:rowOff>
    </xdr:to>
    <xdr:cxnSp macro="">
      <xdr:nvCxnSpPr>
        <xdr:cNvPr id="5095" name="Прямая соединительная линия 5094"/>
        <xdr:cNvCxnSpPr/>
      </xdr:nvCxnSpPr>
      <xdr:spPr>
        <a:xfrm flipH="1" flipV="1">
          <a:off x="9930942" y="1550060"/>
          <a:ext cx="5131" cy="4216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174955</xdr:colOff>
      <xdr:row>8</xdr:row>
      <xdr:rowOff>19405</xdr:rowOff>
    </xdr:from>
    <xdr:to>
      <xdr:col>16</xdr:col>
      <xdr:colOff>177342</xdr:colOff>
      <xdr:row>8</xdr:row>
      <xdr:rowOff>26060</xdr:rowOff>
    </xdr:to>
    <xdr:cxnSp macro="">
      <xdr:nvCxnSpPr>
        <xdr:cNvPr id="5096" name="Прямая соединительная линия 5095"/>
        <xdr:cNvCxnSpPr/>
      </xdr:nvCxnSpPr>
      <xdr:spPr>
        <a:xfrm flipH="1" flipV="1">
          <a:off x="9928555" y="1543405"/>
          <a:ext cx="2387" cy="6655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174955</xdr:colOff>
      <xdr:row>8</xdr:row>
      <xdr:rowOff>10617</xdr:rowOff>
    </xdr:from>
    <xdr:to>
      <xdr:col>16</xdr:col>
      <xdr:colOff>175158</xdr:colOff>
      <xdr:row>8</xdr:row>
      <xdr:rowOff>19405</xdr:rowOff>
    </xdr:to>
    <xdr:cxnSp macro="">
      <xdr:nvCxnSpPr>
        <xdr:cNvPr id="5097" name="Прямая соединительная линия 5096"/>
        <xdr:cNvCxnSpPr/>
      </xdr:nvCxnSpPr>
      <xdr:spPr>
        <a:xfrm flipV="1">
          <a:off x="9928555" y="1534617"/>
          <a:ext cx="203" cy="8788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175158</xdr:colOff>
      <xdr:row>8</xdr:row>
      <xdr:rowOff>0</xdr:rowOff>
    </xdr:from>
    <xdr:to>
      <xdr:col>16</xdr:col>
      <xdr:colOff>177800</xdr:colOff>
      <xdr:row>8</xdr:row>
      <xdr:rowOff>10617</xdr:rowOff>
    </xdr:to>
    <xdr:cxnSp macro="">
      <xdr:nvCxnSpPr>
        <xdr:cNvPr id="5098" name="Прямая соединительная линия 5097"/>
        <xdr:cNvCxnSpPr/>
      </xdr:nvCxnSpPr>
      <xdr:spPr>
        <a:xfrm flipV="1">
          <a:off x="9928758" y="1524000"/>
          <a:ext cx="2642" cy="10617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177800</xdr:colOff>
      <xdr:row>7</xdr:row>
      <xdr:rowOff>174447</xdr:rowOff>
    </xdr:from>
    <xdr:to>
      <xdr:col>16</xdr:col>
      <xdr:colOff>178739</xdr:colOff>
      <xdr:row>8</xdr:row>
      <xdr:rowOff>0</xdr:rowOff>
    </xdr:to>
    <xdr:cxnSp macro="">
      <xdr:nvCxnSpPr>
        <xdr:cNvPr id="5099" name="Прямая соединительная линия 5098"/>
        <xdr:cNvCxnSpPr/>
      </xdr:nvCxnSpPr>
      <xdr:spPr>
        <a:xfrm flipV="1">
          <a:off x="9931400" y="1507947"/>
          <a:ext cx="939" cy="16053"/>
        </a:xfrm>
        <a:prstGeom prst="line">
          <a:avLst/>
        </a:prstGeom>
        <a:ln w="63500">
          <a:solidFill>
            <a:srgbClr val="0066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174650</xdr:colOff>
      <xdr:row>7</xdr:row>
      <xdr:rowOff>164185</xdr:rowOff>
    </xdr:from>
    <xdr:to>
      <xdr:col>16</xdr:col>
      <xdr:colOff>178739</xdr:colOff>
      <xdr:row>7</xdr:row>
      <xdr:rowOff>174447</xdr:rowOff>
    </xdr:to>
    <xdr:cxnSp macro="">
      <xdr:nvCxnSpPr>
        <xdr:cNvPr id="5100" name="Прямая соединительная линия 5099"/>
        <xdr:cNvCxnSpPr/>
      </xdr:nvCxnSpPr>
      <xdr:spPr>
        <a:xfrm flipH="1" flipV="1">
          <a:off x="9928250" y="1497685"/>
          <a:ext cx="4089" cy="10262"/>
        </a:xfrm>
        <a:prstGeom prst="line">
          <a:avLst/>
        </a:prstGeom>
        <a:ln w="63500">
          <a:solidFill>
            <a:srgbClr val="0066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166598</xdr:colOff>
      <xdr:row>7</xdr:row>
      <xdr:rowOff>159410</xdr:rowOff>
    </xdr:from>
    <xdr:to>
      <xdr:col>16</xdr:col>
      <xdr:colOff>174650</xdr:colOff>
      <xdr:row>7</xdr:row>
      <xdr:rowOff>164185</xdr:rowOff>
    </xdr:to>
    <xdr:cxnSp macro="">
      <xdr:nvCxnSpPr>
        <xdr:cNvPr id="5101" name="Прямая соединительная линия 5100"/>
        <xdr:cNvCxnSpPr/>
      </xdr:nvCxnSpPr>
      <xdr:spPr>
        <a:xfrm flipH="1" flipV="1">
          <a:off x="9920198" y="1492910"/>
          <a:ext cx="8052" cy="4775"/>
        </a:xfrm>
        <a:prstGeom prst="line">
          <a:avLst/>
        </a:prstGeom>
        <a:ln w="63500">
          <a:solidFill>
            <a:srgbClr val="0066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155650</xdr:colOff>
      <xdr:row>7</xdr:row>
      <xdr:rowOff>159410</xdr:rowOff>
    </xdr:from>
    <xdr:to>
      <xdr:col>16</xdr:col>
      <xdr:colOff>166598</xdr:colOff>
      <xdr:row>7</xdr:row>
      <xdr:rowOff>159816</xdr:rowOff>
    </xdr:to>
    <xdr:cxnSp macro="">
      <xdr:nvCxnSpPr>
        <xdr:cNvPr id="5102" name="Прямая соединительная линия 5101"/>
        <xdr:cNvCxnSpPr/>
      </xdr:nvCxnSpPr>
      <xdr:spPr>
        <a:xfrm flipH="1">
          <a:off x="9909250" y="1492910"/>
          <a:ext cx="10948" cy="406"/>
        </a:xfrm>
        <a:prstGeom prst="line">
          <a:avLst/>
        </a:prstGeom>
        <a:ln w="63500">
          <a:solidFill>
            <a:srgbClr val="0066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142875</xdr:colOff>
      <xdr:row>7</xdr:row>
      <xdr:rowOff>159816</xdr:rowOff>
    </xdr:from>
    <xdr:to>
      <xdr:col>16</xdr:col>
      <xdr:colOff>155650</xdr:colOff>
      <xdr:row>7</xdr:row>
      <xdr:rowOff>165100</xdr:rowOff>
    </xdr:to>
    <xdr:cxnSp macro="">
      <xdr:nvCxnSpPr>
        <xdr:cNvPr id="5103" name="Прямая соединительная линия 5102"/>
        <xdr:cNvCxnSpPr/>
      </xdr:nvCxnSpPr>
      <xdr:spPr>
        <a:xfrm flipH="1">
          <a:off x="9896475" y="1493316"/>
          <a:ext cx="12775" cy="5284"/>
        </a:xfrm>
        <a:prstGeom prst="line">
          <a:avLst/>
        </a:prstGeom>
        <a:ln w="63500">
          <a:solidFill>
            <a:srgbClr val="0066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129337</xdr:colOff>
      <xdr:row>7</xdr:row>
      <xdr:rowOff>165100</xdr:rowOff>
    </xdr:from>
    <xdr:to>
      <xdr:col>16</xdr:col>
      <xdr:colOff>142875</xdr:colOff>
      <xdr:row>7</xdr:row>
      <xdr:rowOff>174955</xdr:rowOff>
    </xdr:to>
    <xdr:cxnSp macro="">
      <xdr:nvCxnSpPr>
        <xdr:cNvPr id="5104" name="Прямая соединительная линия 5103"/>
        <xdr:cNvCxnSpPr/>
      </xdr:nvCxnSpPr>
      <xdr:spPr>
        <a:xfrm flipH="1">
          <a:off x="9882937" y="1498600"/>
          <a:ext cx="13538" cy="9855"/>
        </a:xfrm>
        <a:prstGeom prst="line">
          <a:avLst/>
        </a:prstGeom>
        <a:ln w="63500">
          <a:solidFill>
            <a:srgbClr val="0066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116103</xdr:colOff>
      <xdr:row>7</xdr:row>
      <xdr:rowOff>174955</xdr:rowOff>
    </xdr:from>
    <xdr:to>
      <xdr:col>16</xdr:col>
      <xdr:colOff>129337</xdr:colOff>
      <xdr:row>7</xdr:row>
      <xdr:rowOff>189077</xdr:rowOff>
    </xdr:to>
    <xdr:cxnSp macro="">
      <xdr:nvCxnSpPr>
        <xdr:cNvPr id="5105" name="Прямая соединительная линия 5104"/>
        <xdr:cNvCxnSpPr/>
      </xdr:nvCxnSpPr>
      <xdr:spPr>
        <a:xfrm flipH="1">
          <a:off x="9869703" y="1508455"/>
          <a:ext cx="13234" cy="14122"/>
        </a:xfrm>
        <a:prstGeom prst="line">
          <a:avLst/>
        </a:prstGeom>
        <a:ln w="63500">
          <a:solidFill>
            <a:srgbClr val="0066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104241</xdr:colOff>
      <xdr:row>7</xdr:row>
      <xdr:rowOff>189077</xdr:rowOff>
    </xdr:from>
    <xdr:to>
      <xdr:col>16</xdr:col>
      <xdr:colOff>116103</xdr:colOff>
      <xdr:row>8</xdr:row>
      <xdr:rowOff>16662</xdr:rowOff>
    </xdr:to>
    <xdr:cxnSp macro="">
      <xdr:nvCxnSpPr>
        <xdr:cNvPr id="5106" name="Прямая соединительная линия 5105"/>
        <xdr:cNvCxnSpPr/>
      </xdr:nvCxnSpPr>
      <xdr:spPr>
        <a:xfrm flipH="1">
          <a:off x="9857841" y="1522577"/>
          <a:ext cx="11862" cy="18085"/>
        </a:xfrm>
        <a:prstGeom prst="line">
          <a:avLst/>
        </a:prstGeom>
        <a:ln w="63500">
          <a:solidFill>
            <a:srgbClr val="0066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94818</xdr:colOff>
      <xdr:row>8</xdr:row>
      <xdr:rowOff>16662</xdr:rowOff>
    </xdr:from>
    <xdr:to>
      <xdr:col>16</xdr:col>
      <xdr:colOff>104241</xdr:colOff>
      <xdr:row>8</xdr:row>
      <xdr:rowOff>38404</xdr:rowOff>
    </xdr:to>
    <xdr:cxnSp macro="">
      <xdr:nvCxnSpPr>
        <xdr:cNvPr id="5107" name="Прямая соединительная линия 5106"/>
        <xdr:cNvCxnSpPr/>
      </xdr:nvCxnSpPr>
      <xdr:spPr>
        <a:xfrm flipH="1">
          <a:off x="9848418" y="1540662"/>
          <a:ext cx="9423" cy="21742"/>
        </a:xfrm>
        <a:prstGeom prst="line">
          <a:avLst/>
        </a:prstGeom>
        <a:ln w="63500">
          <a:solidFill>
            <a:srgbClr val="0066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88900</xdr:colOff>
      <xdr:row>8</xdr:row>
      <xdr:rowOff>38404</xdr:rowOff>
    </xdr:from>
    <xdr:to>
      <xdr:col>16</xdr:col>
      <xdr:colOff>94818</xdr:colOff>
      <xdr:row>8</xdr:row>
      <xdr:rowOff>63500</xdr:rowOff>
    </xdr:to>
    <xdr:cxnSp macro="">
      <xdr:nvCxnSpPr>
        <xdr:cNvPr id="5108" name="Прямая соединительная линия 5107"/>
        <xdr:cNvCxnSpPr/>
      </xdr:nvCxnSpPr>
      <xdr:spPr>
        <a:xfrm flipH="1">
          <a:off x="9842500" y="1562404"/>
          <a:ext cx="5918" cy="25096"/>
        </a:xfrm>
        <a:prstGeom prst="line">
          <a:avLst/>
        </a:prstGeom>
        <a:ln w="63500">
          <a:solidFill>
            <a:srgbClr val="0066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336333</xdr:colOff>
      <xdr:row>10</xdr:row>
      <xdr:rowOff>0</xdr:rowOff>
    </xdr:from>
    <xdr:to>
      <xdr:col>15</xdr:col>
      <xdr:colOff>381000</xdr:colOff>
      <xdr:row>10</xdr:row>
      <xdr:rowOff>25514</xdr:rowOff>
    </xdr:to>
    <xdr:cxnSp macro="">
      <xdr:nvCxnSpPr>
        <xdr:cNvPr id="5109" name="Прямая соединительная линия 5108"/>
        <xdr:cNvCxnSpPr/>
      </xdr:nvCxnSpPr>
      <xdr:spPr>
        <a:xfrm flipH="1">
          <a:off x="9480333" y="1905000"/>
          <a:ext cx="44667" cy="25514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301040</xdr:colOff>
      <xdr:row>10</xdr:row>
      <xdr:rowOff>25514</xdr:rowOff>
    </xdr:from>
    <xdr:to>
      <xdr:col>15</xdr:col>
      <xdr:colOff>336333</xdr:colOff>
      <xdr:row>10</xdr:row>
      <xdr:rowOff>48666</xdr:rowOff>
    </xdr:to>
    <xdr:cxnSp macro="">
      <xdr:nvCxnSpPr>
        <xdr:cNvPr id="5110" name="Прямая соединительная линия 5109"/>
        <xdr:cNvCxnSpPr/>
      </xdr:nvCxnSpPr>
      <xdr:spPr>
        <a:xfrm flipH="1">
          <a:off x="9445040" y="1930514"/>
          <a:ext cx="35293" cy="23152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274586</xdr:colOff>
      <xdr:row>10</xdr:row>
      <xdr:rowOff>48666</xdr:rowOff>
    </xdr:from>
    <xdr:to>
      <xdr:col>15</xdr:col>
      <xdr:colOff>301040</xdr:colOff>
      <xdr:row>10</xdr:row>
      <xdr:rowOff>69380</xdr:rowOff>
    </xdr:to>
    <xdr:cxnSp macro="">
      <xdr:nvCxnSpPr>
        <xdr:cNvPr id="5111" name="Прямая соединительная линия 5110"/>
        <xdr:cNvCxnSpPr/>
      </xdr:nvCxnSpPr>
      <xdr:spPr>
        <a:xfrm flipH="1">
          <a:off x="9418586" y="1953666"/>
          <a:ext cx="26454" cy="20714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256438</xdr:colOff>
      <xdr:row>10</xdr:row>
      <xdr:rowOff>69380</xdr:rowOff>
    </xdr:from>
    <xdr:to>
      <xdr:col>15</xdr:col>
      <xdr:colOff>274586</xdr:colOff>
      <xdr:row>10</xdr:row>
      <xdr:rowOff>87579</xdr:rowOff>
    </xdr:to>
    <xdr:cxnSp macro="">
      <xdr:nvCxnSpPr>
        <xdr:cNvPr id="5112" name="Прямая соединительная линия 5111"/>
        <xdr:cNvCxnSpPr/>
      </xdr:nvCxnSpPr>
      <xdr:spPr>
        <a:xfrm flipH="1">
          <a:off x="9400438" y="1974380"/>
          <a:ext cx="18148" cy="18199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246062</xdr:colOff>
      <xdr:row>10</xdr:row>
      <xdr:rowOff>87579</xdr:rowOff>
    </xdr:from>
    <xdr:to>
      <xdr:col>15</xdr:col>
      <xdr:colOff>256438</xdr:colOff>
      <xdr:row>10</xdr:row>
      <xdr:rowOff>103187</xdr:rowOff>
    </xdr:to>
    <xdr:cxnSp macro="">
      <xdr:nvCxnSpPr>
        <xdr:cNvPr id="5113" name="Прямая соединительная линия 5112"/>
        <xdr:cNvCxnSpPr/>
      </xdr:nvCxnSpPr>
      <xdr:spPr>
        <a:xfrm flipH="1">
          <a:off x="9390062" y="1992579"/>
          <a:ext cx="10376" cy="15608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242925</xdr:colOff>
      <xdr:row>10</xdr:row>
      <xdr:rowOff>103187</xdr:rowOff>
    </xdr:from>
    <xdr:to>
      <xdr:col>15</xdr:col>
      <xdr:colOff>246062</xdr:colOff>
      <xdr:row>10</xdr:row>
      <xdr:rowOff>116128</xdr:rowOff>
    </xdr:to>
    <xdr:cxnSp macro="">
      <xdr:nvCxnSpPr>
        <xdr:cNvPr id="5114" name="Прямая соединительная линия 5113"/>
        <xdr:cNvCxnSpPr/>
      </xdr:nvCxnSpPr>
      <xdr:spPr>
        <a:xfrm flipH="1">
          <a:off x="9386925" y="2008187"/>
          <a:ext cx="3137" cy="12941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242925</xdr:colOff>
      <xdr:row>10</xdr:row>
      <xdr:rowOff>116128</xdr:rowOff>
    </xdr:from>
    <xdr:to>
      <xdr:col>15</xdr:col>
      <xdr:colOff>246494</xdr:colOff>
      <xdr:row>10</xdr:row>
      <xdr:rowOff>126326</xdr:rowOff>
    </xdr:to>
    <xdr:cxnSp macro="">
      <xdr:nvCxnSpPr>
        <xdr:cNvPr id="5115" name="Прямая соединительная линия 5114"/>
        <xdr:cNvCxnSpPr/>
      </xdr:nvCxnSpPr>
      <xdr:spPr>
        <a:xfrm>
          <a:off x="9386925" y="2021128"/>
          <a:ext cx="3569" cy="10198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246494</xdr:colOff>
      <xdr:row>10</xdr:row>
      <xdr:rowOff>126326</xdr:rowOff>
    </xdr:from>
    <xdr:to>
      <xdr:col>15</xdr:col>
      <xdr:colOff>256235</xdr:colOff>
      <xdr:row>10</xdr:row>
      <xdr:rowOff>133705</xdr:rowOff>
    </xdr:to>
    <xdr:cxnSp macro="">
      <xdr:nvCxnSpPr>
        <xdr:cNvPr id="5116" name="Прямая соединительная линия 5115"/>
        <xdr:cNvCxnSpPr/>
      </xdr:nvCxnSpPr>
      <xdr:spPr>
        <a:xfrm>
          <a:off x="9390494" y="2031326"/>
          <a:ext cx="9741" cy="7379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256235</xdr:colOff>
      <xdr:row>10</xdr:row>
      <xdr:rowOff>133705</xdr:rowOff>
    </xdr:from>
    <xdr:to>
      <xdr:col>15</xdr:col>
      <xdr:colOff>271615</xdr:colOff>
      <xdr:row>10</xdr:row>
      <xdr:rowOff>138188</xdr:rowOff>
    </xdr:to>
    <xdr:cxnSp macro="">
      <xdr:nvCxnSpPr>
        <xdr:cNvPr id="5117" name="Прямая соединительная линия 5116"/>
        <xdr:cNvCxnSpPr/>
      </xdr:nvCxnSpPr>
      <xdr:spPr>
        <a:xfrm>
          <a:off x="9400235" y="2038705"/>
          <a:ext cx="15380" cy="4483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271615</xdr:colOff>
      <xdr:row>10</xdr:row>
      <xdr:rowOff>138188</xdr:rowOff>
    </xdr:from>
    <xdr:to>
      <xdr:col>15</xdr:col>
      <xdr:colOff>292100</xdr:colOff>
      <xdr:row>10</xdr:row>
      <xdr:rowOff>139700</xdr:rowOff>
    </xdr:to>
    <xdr:cxnSp macro="">
      <xdr:nvCxnSpPr>
        <xdr:cNvPr id="5118" name="Прямая соединительная линия 5117"/>
        <xdr:cNvCxnSpPr/>
      </xdr:nvCxnSpPr>
      <xdr:spPr>
        <a:xfrm>
          <a:off x="9415615" y="2043188"/>
          <a:ext cx="20485" cy="1512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292100</xdr:colOff>
      <xdr:row>10</xdr:row>
      <xdr:rowOff>139700</xdr:rowOff>
    </xdr:from>
    <xdr:to>
      <xdr:col>15</xdr:col>
      <xdr:colOff>305778</xdr:colOff>
      <xdr:row>10</xdr:row>
      <xdr:rowOff>140830</xdr:rowOff>
    </xdr:to>
    <xdr:cxnSp macro="">
      <xdr:nvCxnSpPr>
        <xdr:cNvPr id="5119" name="Прямая соединительная линия 5118"/>
        <xdr:cNvCxnSpPr/>
      </xdr:nvCxnSpPr>
      <xdr:spPr>
        <a:xfrm>
          <a:off x="9436100" y="2044700"/>
          <a:ext cx="13678" cy="1130"/>
        </a:xfrm>
        <a:prstGeom prst="line">
          <a:avLst/>
        </a:prstGeom>
        <a:ln w="635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305778</xdr:colOff>
      <xdr:row>10</xdr:row>
      <xdr:rowOff>140830</xdr:rowOff>
    </xdr:from>
    <xdr:to>
      <xdr:col>15</xdr:col>
      <xdr:colOff>316179</xdr:colOff>
      <xdr:row>10</xdr:row>
      <xdr:rowOff>144170</xdr:rowOff>
    </xdr:to>
    <xdr:cxnSp macro="">
      <xdr:nvCxnSpPr>
        <xdr:cNvPr id="5120" name="Прямая соединительная линия 5119"/>
        <xdr:cNvCxnSpPr/>
      </xdr:nvCxnSpPr>
      <xdr:spPr>
        <a:xfrm>
          <a:off x="9449778" y="2045830"/>
          <a:ext cx="10401" cy="3340"/>
        </a:xfrm>
        <a:prstGeom prst="line">
          <a:avLst/>
        </a:prstGeom>
        <a:ln w="635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316179</xdr:colOff>
      <xdr:row>10</xdr:row>
      <xdr:rowOff>144170</xdr:rowOff>
    </xdr:from>
    <xdr:to>
      <xdr:col>15</xdr:col>
      <xdr:colOff>323075</xdr:colOff>
      <xdr:row>10</xdr:row>
      <xdr:rowOff>149644</xdr:rowOff>
    </xdr:to>
    <xdr:cxnSp macro="">
      <xdr:nvCxnSpPr>
        <xdr:cNvPr id="5121" name="Прямая соединительная линия 5120"/>
        <xdr:cNvCxnSpPr/>
      </xdr:nvCxnSpPr>
      <xdr:spPr>
        <a:xfrm>
          <a:off x="9460179" y="2049170"/>
          <a:ext cx="6896" cy="5474"/>
        </a:xfrm>
        <a:prstGeom prst="line">
          <a:avLst/>
        </a:prstGeom>
        <a:ln w="635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323075</xdr:colOff>
      <xdr:row>10</xdr:row>
      <xdr:rowOff>149644</xdr:rowOff>
    </xdr:from>
    <xdr:to>
      <xdr:col>15</xdr:col>
      <xdr:colOff>326237</xdr:colOff>
      <xdr:row>10</xdr:row>
      <xdr:rowOff>157175</xdr:rowOff>
    </xdr:to>
    <xdr:cxnSp macro="">
      <xdr:nvCxnSpPr>
        <xdr:cNvPr id="5122" name="Прямая соединительная линия 5121"/>
        <xdr:cNvCxnSpPr/>
      </xdr:nvCxnSpPr>
      <xdr:spPr>
        <a:xfrm>
          <a:off x="9467075" y="2054644"/>
          <a:ext cx="3162" cy="7531"/>
        </a:xfrm>
        <a:prstGeom prst="line">
          <a:avLst/>
        </a:prstGeom>
        <a:ln w="635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325437</xdr:colOff>
      <xdr:row>10</xdr:row>
      <xdr:rowOff>157175</xdr:rowOff>
    </xdr:from>
    <xdr:to>
      <xdr:col>15</xdr:col>
      <xdr:colOff>326237</xdr:colOff>
      <xdr:row>10</xdr:row>
      <xdr:rowOff>166687</xdr:rowOff>
    </xdr:to>
    <xdr:cxnSp macro="">
      <xdr:nvCxnSpPr>
        <xdr:cNvPr id="5123" name="Прямая соединительная линия 5122"/>
        <xdr:cNvCxnSpPr/>
      </xdr:nvCxnSpPr>
      <xdr:spPr>
        <a:xfrm flipH="1">
          <a:off x="9469437" y="2062175"/>
          <a:ext cx="800" cy="9512"/>
        </a:xfrm>
        <a:prstGeom prst="line">
          <a:avLst/>
        </a:prstGeom>
        <a:ln w="635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320446</xdr:colOff>
      <xdr:row>10</xdr:row>
      <xdr:rowOff>166687</xdr:rowOff>
    </xdr:from>
    <xdr:to>
      <xdr:col>15</xdr:col>
      <xdr:colOff>325437</xdr:colOff>
      <xdr:row>10</xdr:row>
      <xdr:rowOff>178104</xdr:rowOff>
    </xdr:to>
    <xdr:cxnSp macro="">
      <xdr:nvCxnSpPr>
        <xdr:cNvPr id="5124" name="Прямая соединительная линия 5123"/>
        <xdr:cNvCxnSpPr/>
      </xdr:nvCxnSpPr>
      <xdr:spPr>
        <a:xfrm flipH="1">
          <a:off x="9464446" y="2071687"/>
          <a:ext cx="4991" cy="11417"/>
        </a:xfrm>
        <a:prstGeom prst="line">
          <a:avLst/>
        </a:prstGeom>
        <a:ln w="635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311036</xdr:colOff>
      <xdr:row>10</xdr:row>
      <xdr:rowOff>178104</xdr:rowOff>
    </xdr:from>
    <xdr:to>
      <xdr:col>15</xdr:col>
      <xdr:colOff>320446</xdr:colOff>
      <xdr:row>11</xdr:row>
      <xdr:rowOff>850</xdr:rowOff>
    </xdr:to>
    <xdr:cxnSp macro="">
      <xdr:nvCxnSpPr>
        <xdr:cNvPr id="5125" name="Прямая соединительная линия 5124"/>
        <xdr:cNvCxnSpPr/>
      </xdr:nvCxnSpPr>
      <xdr:spPr>
        <a:xfrm flipH="1">
          <a:off x="9455036" y="2083104"/>
          <a:ext cx="9410" cy="13246"/>
        </a:xfrm>
        <a:prstGeom prst="line">
          <a:avLst/>
        </a:prstGeom>
        <a:ln w="635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296976</xdr:colOff>
      <xdr:row>11</xdr:row>
      <xdr:rowOff>850</xdr:rowOff>
    </xdr:from>
    <xdr:to>
      <xdr:col>15</xdr:col>
      <xdr:colOff>311036</xdr:colOff>
      <xdr:row>11</xdr:row>
      <xdr:rowOff>15849</xdr:rowOff>
    </xdr:to>
    <xdr:cxnSp macro="">
      <xdr:nvCxnSpPr>
        <xdr:cNvPr id="5126" name="Прямая соединительная линия 5125"/>
        <xdr:cNvCxnSpPr/>
      </xdr:nvCxnSpPr>
      <xdr:spPr>
        <a:xfrm flipH="1">
          <a:off x="9440976" y="2096350"/>
          <a:ext cx="14060" cy="14999"/>
        </a:xfrm>
        <a:prstGeom prst="line">
          <a:avLst/>
        </a:prstGeom>
        <a:ln w="635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278041</xdr:colOff>
      <xdr:row>11</xdr:row>
      <xdr:rowOff>15849</xdr:rowOff>
    </xdr:from>
    <xdr:to>
      <xdr:col>15</xdr:col>
      <xdr:colOff>296976</xdr:colOff>
      <xdr:row>11</xdr:row>
      <xdr:rowOff>32524</xdr:rowOff>
    </xdr:to>
    <xdr:cxnSp macro="">
      <xdr:nvCxnSpPr>
        <xdr:cNvPr id="5127" name="Прямая соединительная линия 5126"/>
        <xdr:cNvCxnSpPr/>
      </xdr:nvCxnSpPr>
      <xdr:spPr>
        <a:xfrm flipH="1">
          <a:off x="9422041" y="2111349"/>
          <a:ext cx="18935" cy="16675"/>
        </a:xfrm>
        <a:prstGeom prst="line">
          <a:avLst/>
        </a:prstGeom>
        <a:ln w="635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254000</xdr:colOff>
      <xdr:row>11</xdr:row>
      <xdr:rowOff>32524</xdr:rowOff>
    </xdr:from>
    <xdr:to>
      <xdr:col>15</xdr:col>
      <xdr:colOff>278041</xdr:colOff>
      <xdr:row>11</xdr:row>
      <xdr:rowOff>50800</xdr:rowOff>
    </xdr:to>
    <xdr:cxnSp macro="">
      <xdr:nvCxnSpPr>
        <xdr:cNvPr id="5128" name="Прямая соединительная линия 5127"/>
        <xdr:cNvCxnSpPr/>
      </xdr:nvCxnSpPr>
      <xdr:spPr>
        <a:xfrm flipH="1">
          <a:off x="9398000" y="2128024"/>
          <a:ext cx="24041" cy="18276"/>
        </a:xfrm>
        <a:prstGeom prst="line">
          <a:avLst/>
        </a:prstGeom>
        <a:ln w="635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229209</xdr:colOff>
      <xdr:row>11</xdr:row>
      <xdr:rowOff>50800</xdr:rowOff>
    </xdr:from>
    <xdr:to>
      <xdr:col>15</xdr:col>
      <xdr:colOff>254000</xdr:colOff>
      <xdr:row>11</xdr:row>
      <xdr:rowOff>67614</xdr:rowOff>
    </xdr:to>
    <xdr:cxnSp macro="">
      <xdr:nvCxnSpPr>
        <xdr:cNvPr id="5129" name="Прямая соединительная линия 5128"/>
        <xdr:cNvCxnSpPr/>
      </xdr:nvCxnSpPr>
      <xdr:spPr>
        <a:xfrm flipH="1">
          <a:off x="9373209" y="2146300"/>
          <a:ext cx="24791" cy="16814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208076</xdr:colOff>
      <xdr:row>11</xdr:row>
      <xdr:rowOff>67614</xdr:rowOff>
    </xdr:from>
    <xdr:to>
      <xdr:col>15</xdr:col>
      <xdr:colOff>229209</xdr:colOff>
      <xdr:row>11</xdr:row>
      <xdr:rowOff>80162</xdr:rowOff>
    </xdr:to>
    <xdr:cxnSp macro="">
      <xdr:nvCxnSpPr>
        <xdr:cNvPr id="5130" name="Прямая соединительная линия 5129"/>
        <xdr:cNvCxnSpPr/>
      </xdr:nvCxnSpPr>
      <xdr:spPr>
        <a:xfrm flipH="1">
          <a:off x="9352076" y="2163114"/>
          <a:ext cx="21133" cy="12548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190448</xdr:colOff>
      <xdr:row>11</xdr:row>
      <xdr:rowOff>80162</xdr:rowOff>
    </xdr:from>
    <xdr:to>
      <xdr:col>15</xdr:col>
      <xdr:colOff>208076</xdr:colOff>
      <xdr:row>11</xdr:row>
      <xdr:rowOff>88747</xdr:rowOff>
    </xdr:to>
    <xdr:cxnSp macro="">
      <xdr:nvCxnSpPr>
        <xdr:cNvPr id="5131" name="Прямая соединительная линия 5130"/>
        <xdr:cNvCxnSpPr/>
      </xdr:nvCxnSpPr>
      <xdr:spPr>
        <a:xfrm flipH="1">
          <a:off x="9334448" y="2175662"/>
          <a:ext cx="17628" cy="8585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176174</xdr:colOff>
      <xdr:row>11</xdr:row>
      <xdr:rowOff>88747</xdr:rowOff>
    </xdr:from>
    <xdr:to>
      <xdr:col>15</xdr:col>
      <xdr:colOff>190448</xdr:colOff>
      <xdr:row>11</xdr:row>
      <xdr:rowOff>93675</xdr:rowOff>
    </xdr:to>
    <xdr:cxnSp macro="">
      <xdr:nvCxnSpPr>
        <xdr:cNvPr id="5132" name="Прямая соединительная линия 5131"/>
        <xdr:cNvCxnSpPr/>
      </xdr:nvCxnSpPr>
      <xdr:spPr>
        <a:xfrm flipH="1">
          <a:off x="9320174" y="2184247"/>
          <a:ext cx="14274" cy="4928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165100</xdr:colOff>
      <xdr:row>11</xdr:row>
      <xdr:rowOff>93675</xdr:rowOff>
    </xdr:from>
    <xdr:to>
      <xdr:col>15</xdr:col>
      <xdr:colOff>176174</xdr:colOff>
      <xdr:row>11</xdr:row>
      <xdr:rowOff>95250</xdr:rowOff>
    </xdr:to>
    <xdr:cxnSp macro="">
      <xdr:nvCxnSpPr>
        <xdr:cNvPr id="5133" name="Прямая соединительная линия 5132"/>
        <xdr:cNvCxnSpPr/>
      </xdr:nvCxnSpPr>
      <xdr:spPr>
        <a:xfrm flipH="1">
          <a:off x="9309100" y="2189175"/>
          <a:ext cx="11074" cy="1575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157073</xdr:colOff>
      <xdr:row>11</xdr:row>
      <xdr:rowOff>93776</xdr:rowOff>
    </xdr:from>
    <xdr:to>
      <xdr:col>15</xdr:col>
      <xdr:colOff>165100</xdr:colOff>
      <xdr:row>11</xdr:row>
      <xdr:rowOff>95250</xdr:rowOff>
    </xdr:to>
    <xdr:cxnSp macro="">
      <xdr:nvCxnSpPr>
        <xdr:cNvPr id="5134" name="Прямая соединительная линия 5133"/>
        <xdr:cNvCxnSpPr/>
      </xdr:nvCxnSpPr>
      <xdr:spPr>
        <a:xfrm flipH="1" flipV="1">
          <a:off x="9301073" y="2189276"/>
          <a:ext cx="8027" cy="1474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151942</xdr:colOff>
      <xdr:row>11</xdr:row>
      <xdr:rowOff>89560</xdr:rowOff>
    </xdr:from>
    <xdr:to>
      <xdr:col>15</xdr:col>
      <xdr:colOff>157073</xdr:colOff>
      <xdr:row>11</xdr:row>
      <xdr:rowOff>93776</xdr:rowOff>
    </xdr:to>
    <xdr:cxnSp macro="">
      <xdr:nvCxnSpPr>
        <xdr:cNvPr id="5135" name="Прямая соединительная линия 5134"/>
        <xdr:cNvCxnSpPr/>
      </xdr:nvCxnSpPr>
      <xdr:spPr>
        <a:xfrm flipH="1" flipV="1">
          <a:off x="9295942" y="2185060"/>
          <a:ext cx="5131" cy="4216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149555</xdr:colOff>
      <xdr:row>11</xdr:row>
      <xdr:rowOff>82905</xdr:rowOff>
    </xdr:from>
    <xdr:to>
      <xdr:col>15</xdr:col>
      <xdr:colOff>151942</xdr:colOff>
      <xdr:row>11</xdr:row>
      <xdr:rowOff>89560</xdr:rowOff>
    </xdr:to>
    <xdr:cxnSp macro="">
      <xdr:nvCxnSpPr>
        <xdr:cNvPr id="5136" name="Прямая соединительная линия 5135"/>
        <xdr:cNvCxnSpPr/>
      </xdr:nvCxnSpPr>
      <xdr:spPr>
        <a:xfrm flipH="1" flipV="1">
          <a:off x="9293555" y="2178405"/>
          <a:ext cx="2387" cy="6655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149555</xdr:colOff>
      <xdr:row>11</xdr:row>
      <xdr:rowOff>74117</xdr:rowOff>
    </xdr:from>
    <xdr:to>
      <xdr:col>15</xdr:col>
      <xdr:colOff>149758</xdr:colOff>
      <xdr:row>11</xdr:row>
      <xdr:rowOff>82905</xdr:rowOff>
    </xdr:to>
    <xdr:cxnSp macro="">
      <xdr:nvCxnSpPr>
        <xdr:cNvPr id="5137" name="Прямая соединительная линия 5136"/>
        <xdr:cNvCxnSpPr/>
      </xdr:nvCxnSpPr>
      <xdr:spPr>
        <a:xfrm flipV="1">
          <a:off x="9293555" y="2169617"/>
          <a:ext cx="203" cy="8788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149758</xdr:colOff>
      <xdr:row>11</xdr:row>
      <xdr:rowOff>63500</xdr:rowOff>
    </xdr:from>
    <xdr:to>
      <xdr:col>15</xdr:col>
      <xdr:colOff>152400</xdr:colOff>
      <xdr:row>11</xdr:row>
      <xdr:rowOff>74117</xdr:rowOff>
    </xdr:to>
    <xdr:cxnSp macro="">
      <xdr:nvCxnSpPr>
        <xdr:cNvPr id="5138" name="Прямая соединительная линия 5137"/>
        <xdr:cNvCxnSpPr/>
      </xdr:nvCxnSpPr>
      <xdr:spPr>
        <a:xfrm flipV="1">
          <a:off x="9293758" y="2159000"/>
          <a:ext cx="2642" cy="10617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152400</xdr:colOff>
      <xdr:row>11</xdr:row>
      <xdr:rowOff>47447</xdr:rowOff>
    </xdr:from>
    <xdr:to>
      <xdr:col>15</xdr:col>
      <xdr:colOff>153339</xdr:colOff>
      <xdr:row>11</xdr:row>
      <xdr:rowOff>63500</xdr:rowOff>
    </xdr:to>
    <xdr:cxnSp macro="">
      <xdr:nvCxnSpPr>
        <xdr:cNvPr id="5139" name="Прямая соединительная линия 5138"/>
        <xdr:cNvCxnSpPr/>
      </xdr:nvCxnSpPr>
      <xdr:spPr>
        <a:xfrm flipV="1">
          <a:off x="9296400" y="2142947"/>
          <a:ext cx="939" cy="16053"/>
        </a:xfrm>
        <a:prstGeom prst="line">
          <a:avLst/>
        </a:prstGeom>
        <a:ln w="63500">
          <a:solidFill>
            <a:srgbClr val="0066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149250</xdr:colOff>
      <xdr:row>11</xdr:row>
      <xdr:rowOff>37185</xdr:rowOff>
    </xdr:from>
    <xdr:to>
      <xdr:col>15</xdr:col>
      <xdr:colOff>153339</xdr:colOff>
      <xdr:row>11</xdr:row>
      <xdr:rowOff>47447</xdr:rowOff>
    </xdr:to>
    <xdr:cxnSp macro="">
      <xdr:nvCxnSpPr>
        <xdr:cNvPr id="5140" name="Прямая соединительная линия 5139"/>
        <xdr:cNvCxnSpPr/>
      </xdr:nvCxnSpPr>
      <xdr:spPr>
        <a:xfrm flipH="1" flipV="1">
          <a:off x="9293250" y="2132685"/>
          <a:ext cx="4089" cy="10262"/>
        </a:xfrm>
        <a:prstGeom prst="line">
          <a:avLst/>
        </a:prstGeom>
        <a:ln w="63500">
          <a:solidFill>
            <a:srgbClr val="0066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141198</xdr:colOff>
      <xdr:row>11</xdr:row>
      <xdr:rowOff>32410</xdr:rowOff>
    </xdr:from>
    <xdr:to>
      <xdr:col>15</xdr:col>
      <xdr:colOff>149250</xdr:colOff>
      <xdr:row>11</xdr:row>
      <xdr:rowOff>37185</xdr:rowOff>
    </xdr:to>
    <xdr:cxnSp macro="">
      <xdr:nvCxnSpPr>
        <xdr:cNvPr id="5141" name="Прямая соединительная линия 5140"/>
        <xdr:cNvCxnSpPr/>
      </xdr:nvCxnSpPr>
      <xdr:spPr>
        <a:xfrm flipH="1" flipV="1">
          <a:off x="9285198" y="2127910"/>
          <a:ext cx="8052" cy="4775"/>
        </a:xfrm>
        <a:prstGeom prst="line">
          <a:avLst/>
        </a:prstGeom>
        <a:ln w="63500">
          <a:solidFill>
            <a:srgbClr val="0066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130250</xdr:colOff>
      <xdr:row>11</xdr:row>
      <xdr:rowOff>32410</xdr:rowOff>
    </xdr:from>
    <xdr:to>
      <xdr:col>15</xdr:col>
      <xdr:colOff>141198</xdr:colOff>
      <xdr:row>11</xdr:row>
      <xdr:rowOff>32816</xdr:rowOff>
    </xdr:to>
    <xdr:cxnSp macro="">
      <xdr:nvCxnSpPr>
        <xdr:cNvPr id="5142" name="Прямая соединительная линия 5141"/>
        <xdr:cNvCxnSpPr/>
      </xdr:nvCxnSpPr>
      <xdr:spPr>
        <a:xfrm flipH="1">
          <a:off x="9274250" y="2127910"/>
          <a:ext cx="10948" cy="406"/>
        </a:xfrm>
        <a:prstGeom prst="line">
          <a:avLst/>
        </a:prstGeom>
        <a:ln w="63500">
          <a:solidFill>
            <a:srgbClr val="0066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117475</xdr:colOff>
      <xdr:row>11</xdr:row>
      <xdr:rowOff>32816</xdr:rowOff>
    </xdr:from>
    <xdr:to>
      <xdr:col>15</xdr:col>
      <xdr:colOff>130250</xdr:colOff>
      <xdr:row>11</xdr:row>
      <xdr:rowOff>38100</xdr:rowOff>
    </xdr:to>
    <xdr:cxnSp macro="">
      <xdr:nvCxnSpPr>
        <xdr:cNvPr id="5143" name="Прямая соединительная линия 5142"/>
        <xdr:cNvCxnSpPr/>
      </xdr:nvCxnSpPr>
      <xdr:spPr>
        <a:xfrm flipH="1">
          <a:off x="9261475" y="2128316"/>
          <a:ext cx="12775" cy="5284"/>
        </a:xfrm>
        <a:prstGeom prst="line">
          <a:avLst/>
        </a:prstGeom>
        <a:ln w="63500">
          <a:solidFill>
            <a:srgbClr val="0066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103937</xdr:colOff>
      <xdr:row>11</xdr:row>
      <xdr:rowOff>38100</xdr:rowOff>
    </xdr:from>
    <xdr:to>
      <xdr:col>15</xdr:col>
      <xdr:colOff>117475</xdr:colOff>
      <xdr:row>11</xdr:row>
      <xdr:rowOff>47955</xdr:rowOff>
    </xdr:to>
    <xdr:cxnSp macro="">
      <xdr:nvCxnSpPr>
        <xdr:cNvPr id="5144" name="Прямая соединительная линия 5143"/>
        <xdr:cNvCxnSpPr/>
      </xdr:nvCxnSpPr>
      <xdr:spPr>
        <a:xfrm flipH="1">
          <a:off x="9247937" y="2133600"/>
          <a:ext cx="13538" cy="9855"/>
        </a:xfrm>
        <a:prstGeom prst="line">
          <a:avLst/>
        </a:prstGeom>
        <a:ln w="63500">
          <a:solidFill>
            <a:srgbClr val="0066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90703</xdr:colOff>
      <xdr:row>11</xdr:row>
      <xdr:rowOff>47955</xdr:rowOff>
    </xdr:from>
    <xdr:to>
      <xdr:col>15</xdr:col>
      <xdr:colOff>103937</xdr:colOff>
      <xdr:row>11</xdr:row>
      <xdr:rowOff>62077</xdr:rowOff>
    </xdr:to>
    <xdr:cxnSp macro="">
      <xdr:nvCxnSpPr>
        <xdr:cNvPr id="5145" name="Прямая соединительная линия 5144"/>
        <xdr:cNvCxnSpPr/>
      </xdr:nvCxnSpPr>
      <xdr:spPr>
        <a:xfrm flipH="1">
          <a:off x="9234703" y="2143455"/>
          <a:ext cx="13234" cy="14122"/>
        </a:xfrm>
        <a:prstGeom prst="line">
          <a:avLst/>
        </a:prstGeom>
        <a:ln w="63500">
          <a:solidFill>
            <a:srgbClr val="0066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78841</xdr:colOff>
      <xdr:row>11</xdr:row>
      <xdr:rowOff>62077</xdr:rowOff>
    </xdr:from>
    <xdr:to>
      <xdr:col>15</xdr:col>
      <xdr:colOff>90703</xdr:colOff>
      <xdr:row>11</xdr:row>
      <xdr:rowOff>80162</xdr:rowOff>
    </xdr:to>
    <xdr:cxnSp macro="">
      <xdr:nvCxnSpPr>
        <xdr:cNvPr id="5146" name="Прямая соединительная линия 5145"/>
        <xdr:cNvCxnSpPr/>
      </xdr:nvCxnSpPr>
      <xdr:spPr>
        <a:xfrm flipH="1">
          <a:off x="9222841" y="2157577"/>
          <a:ext cx="11862" cy="18085"/>
        </a:xfrm>
        <a:prstGeom prst="line">
          <a:avLst/>
        </a:prstGeom>
        <a:ln w="63500">
          <a:solidFill>
            <a:srgbClr val="0066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69418</xdr:colOff>
      <xdr:row>11</xdr:row>
      <xdr:rowOff>80162</xdr:rowOff>
    </xdr:from>
    <xdr:to>
      <xdr:col>15</xdr:col>
      <xdr:colOff>78841</xdr:colOff>
      <xdr:row>11</xdr:row>
      <xdr:rowOff>101904</xdr:rowOff>
    </xdr:to>
    <xdr:cxnSp macro="">
      <xdr:nvCxnSpPr>
        <xdr:cNvPr id="5147" name="Прямая соединительная линия 5146"/>
        <xdr:cNvCxnSpPr/>
      </xdr:nvCxnSpPr>
      <xdr:spPr>
        <a:xfrm flipH="1">
          <a:off x="9213418" y="2175662"/>
          <a:ext cx="9423" cy="21742"/>
        </a:xfrm>
        <a:prstGeom prst="line">
          <a:avLst/>
        </a:prstGeom>
        <a:ln w="63500">
          <a:solidFill>
            <a:srgbClr val="0066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63500</xdr:colOff>
      <xdr:row>11</xdr:row>
      <xdr:rowOff>101904</xdr:rowOff>
    </xdr:from>
    <xdr:to>
      <xdr:col>15</xdr:col>
      <xdr:colOff>69418</xdr:colOff>
      <xdr:row>11</xdr:row>
      <xdr:rowOff>127000</xdr:rowOff>
    </xdr:to>
    <xdr:cxnSp macro="">
      <xdr:nvCxnSpPr>
        <xdr:cNvPr id="5148" name="Прямая соединительная линия 5147"/>
        <xdr:cNvCxnSpPr/>
      </xdr:nvCxnSpPr>
      <xdr:spPr>
        <a:xfrm flipH="1">
          <a:off x="9207500" y="2197404"/>
          <a:ext cx="5918" cy="25096"/>
        </a:xfrm>
        <a:prstGeom prst="line">
          <a:avLst/>
        </a:prstGeom>
        <a:ln w="63500">
          <a:solidFill>
            <a:srgbClr val="0066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381000</xdr:colOff>
      <xdr:row>3</xdr:row>
      <xdr:rowOff>63500</xdr:rowOff>
    </xdr:from>
    <xdr:to>
      <xdr:col>15</xdr:col>
      <xdr:colOff>406513</xdr:colOff>
      <xdr:row>3</xdr:row>
      <xdr:rowOff>108165</xdr:rowOff>
    </xdr:to>
    <xdr:cxnSp macro="">
      <xdr:nvCxnSpPr>
        <xdr:cNvPr id="5149" name="Прямая соединительная линия 5148"/>
        <xdr:cNvCxnSpPr/>
      </xdr:nvCxnSpPr>
      <xdr:spPr>
        <a:xfrm>
          <a:off x="9525000" y="635000"/>
          <a:ext cx="25513" cy="44665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406513</xdr:colOff>
      <xdr:row>3</xdr:row>
      <xdr:rowOff>108165</xdr:rowOff>
    </xdr:from>
    <xdr:to>
      <xdr:col>15</xdr:col>
      <xdr:colOff>429666</xdr:colOff>
      <xdr:row>3</xdr:row>
      <xdr:rowOff>143459</xdr:rowOff>
    </xdr:to>
    <xdr:cxnSp macro="">
      <xdr:nvCxnSpPr>
        <xdr:cNvPr id="5150" name="Прямая соединительная линия 5149"/>
        <xdr:cNvCxnSpPr/>
      </xdr:nvCxnSpPr>
      <xdr:spPr>
        <a:xfrm>
          <a:off x="9550513" y="679665"/>
          <a:ext cx="23153" cy="35294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429666</xdr:colOff>
      <xdr:row>3</xdr:row>
      <xdr:rowOff>143459</xdr:rowOff>
    </xdr:from>
    <xdr:to>
      <xdr:col>15</xdr:col>
      <xdr:colOff>450380</xdr:colOff>
      <xdr:row>3</xdr:row>
      <xdr:rowOff>169913</xdr:rowOff>
    </xdr:to>
    <xdr:cxnSp macro="">
      <xdr:nvCxnSpPr>
        <xdr:cNvPr id="5151" name="Прямая соединительная линия 5150"/>
        <xdr:cNvCxnSpPr/>
      </xdr:nvCxnSpPr>
      <xdr:spPr>
        <a:xfrm>
          <a:off x="9573666" y="714959"/>
          <a:ext cx="20714" cy="26454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450380</xdr:colOff>
      <xdr:row>3</xdr:row>
      <xdr:rowOff>169913</xdr:rowOff>
    </xdr:from>
    <xdr:to>
      <xdr:col>15</xdr:col>
      <xdr:colOff>468579</xdr:colOff>
      <xdr:row>3</xdr:row>
      <xdr:rowOff>188061</xdr:rowOff>
    </xdr:to>
    <xdr:cxnSp macro="">
      <xdr:nvCxnSpPr>
        <xdr:cNvPr id="5152" name="Прямая соединительная линия 5151"/>
        <xdr:cNvCxnSpPr/>
      </xdr:nvCxnSpPr>
      <xdr:spPr>
        <a:xfrm>
          <a:off x="9594380" y="741413"/>
          <a:ext cx="18199" cy="18148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468579</xdr:colOff>
      <xdr:row>3</xdr:row>
      <xdr:rowOff>188061</xdr:rowOff>
    </xdr:from>
    <xdr:to>
      <xdr:col>15</xdr:col>
      <xdr:colOff>484187</xdr:colOff>
      <xdr:row>4</xdr:row>
      <xdr:rowOff>7937</xdr:rowOff>
    </xdr:to>
    <xdr:cxnSp macro="">
      <xdr:nvCxnSpPr>
        <xdr:cNvPr id="5153" name="Прямая соединительная линия 5152"/>
        <xdr:cNvCxnSpPr/>
      </xdr:nvCxnSpPr>
      <xdr:spPr>
        <a:xfrm>
          <a:off x="9612579" y="759561"/>
          <a:ext cx="15608" cy="10376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484187</xdr:colOff>
      <xdr:row>4</xdr:row>
      <xdr:rowOff>7937</xdr:rowOff>
    </xdr:from>
    <xdr:to>
      <xdr:col>15</xdr:col>
      <xdr:colOff>497128</xdr:colOff>
      <xdr:row>4</xdr:row>
      <xdr:rowOff>11074</xdr:rowOff>
    </xdr:to>
    <xdr:cxnSp macro="">
      <xdr:nvCxnSpPr>
        <xdr:cNvPr id="5154" name="Прямая соединительная линия 5153"/>
        <xdr:cNvCxnSpPr/>
      </xdr:nvCxnSpPr>
      <xdr:spPr>
        <a:xfrm>
          <a:off x="9628187" y="769937"/>
          <a:ext cx="12941" cy="3137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497128</xdr:colOff>
      <xdr:row>4</xdr:row>
      <xdr:rowOff>7505</xdr:rowOff>
    </xdr:from>
    <xdr:to>
      <xdr:col>15</xdr:col>
      <xdr:colOff>507327</xdr:colOff>
      <xdr:row>4</xdr:row>
      <xdr:rowOff>11074</xdr:rowOff>
    </xdr:to>
    <xdr:cxnSp macro="">
      <xdr:nvCxnSpPr>
        <xdr:cNvPr id="5155" name="Прямая соединительная линия 5154"/>
        <xdr:cNvCxnSpPr/>
      </xdr:nvCxnSpPr>
      <xdr:spPr>
        <a:xfrm flipV="1">
          <a:off x="9641128" y="769505"/>
          <a:ext cx="10199" cy="3569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507327</xdr:colOff>
      <xdr:row>3</xdr:row>
      <xdr:rowOff>188264</xdr:rowOff>
    </xdr:from>
    <xdr:to>
      <xdr:col>15</xdr:col>
      <xdr:colOff>514705</xdr:colOff>
      <xdr:row>4</xdr:row>
      <xdr:rowOff>7505</xdr:rowOff>
    </xdr:to>
    <xdr:cxnSp macro="">
      <xdr:nvCxnSpPr>
        <xdr:cNvPr id="5156" name="Прямая соединительная линия 5155"/>
        <xdr:cNvCxnSpPr/>
      </xdr:nvCxnSpPr>
      <xdr:spPr>
        <a:xfrm flipV="1">
          <a:off x="9651327" y="759764"/>
          <a:ext cx="7378" cy="9741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514705</xdr:colOff>
      <xdr:row>3</xdr:row>
      <xdr:rowOff>172885</xdr:rowOff>
    </xdr:from>
    <xdr:to>
      <xdr:col>15</xdr:col>
      <xdr:colOff>519188</xdr:colOff>
      <xdr:row>3</xdr:row>
      <xdr:rowOff>188264</xdr:rowOff>
    </xdr:to>
    <xdr:cxnSp macro="">
      <xdr:nvCxnSpPr>
        <xdr:cNvPr id="5157" name="Прямая соединительная линия 5156"/>
        <xdr:cNvCxnSpPr/>
      </xdr:nvCxnSpPr>
      <xdr:spPr>
        <a:xfrm flipV="1">
          <a:off x="9658705" y="744385"/>
          <a:ext cx="4483" cy="15379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519188</xdr:colOff>
      <xdr:row>3</xdr:row>
      <xdr:rowOff>152400</xdr:rowOff>
    </xdr:from>
    <xdr:to>
      <xdr:col>15</xdr:col>
      <xdr:colOff>520700</xdr:colOff>
      <xdr:row>3</xdr:row>
      <xdr:rowOff>172885</xdr:rowOff>
    </xdr:to>
    <xdr:cxnSp macro="">
      <xdr:nvCxnSpPr>
        <xdr:cNvPr id="5158" name="Прямая соединительная линия 5157"/>
        <xdr:cNvCxnSpPr/>
      </xdr:nvCxnSpPr>
      <xdr:spPr>
        <a:xfrm flipV="1">
          <a:off x="9663188" y="723900"/>
          <a:ext cx="1512" cy="20485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520700</xdr:colOff>
      <xdr:row>3</xdr:row>
      <xdr:rowOff>138722</xdr:rowOff>
    </xdr:from>
    <xdr:to>
      <xdr:col>15</xdr:col>
      <xdr:colOff>521830</xdr:colOff>
      <xdr:row>3</xdr:row>
      <xdr:rowOff>152400</xdr:rowOff>
    </xdr:to>
    <xdr:cxnSp macro="">
      <xdr:nvCxnSpPr>
        <xdr:cNvPr id="5159" name="Прямая соединительная линия 5158"/>
        <xdr:cNvCxnSpPr/>
      </xdr:nvCxnSpPr>
      <xdr:spPr>
        <a:xfrm flipV="1">
          <a:off x="9664700" y="710222"/>
          <a:ext cx="1130" cy="13678"/>
        </a:xfrm>
        <a:prstGeom prst="line">
          <a:avLst/>
        </a:prstGeom>
        <a:ln w="635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521830</xdr:colOff>
      <xdr:row>3</xdr:row>
      <xdr:rowOff>128320</xdr:rowOff>
    </xdr:from>
    <xdr:to>
      <xdr:col>15</xdr:col>
      <xdr:colOff>525170</xdr:colOff>
      <xdr:row>3</xdr:row>
      <xdr:rowOff>138722</xdr:rowOff>
    </xdr:to>
    <xdr:cxnSp macro="">
      <xdr:nvCxnSpPr>
        <xdr:cNvPr id="5160" name="Прямая соединительная линия 5159"/>
        <xdr:cNvCxnSpPr/>
      </xdr:nvCxnSpPr>
      <xdr:spPr>
        <a:xfrm flipV="1">
          <a:off x="9665830" y="699820"/>
          <a:ext cx="3340" cy="10402"/>
        </a:xfrm>
        <a:prstGeom prst="line">
          <a:avLst/>
        </a:prstGeom>
        <a:ln w="635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525170</xdr:colOff>
      <xdr:row>3</xdr:row>
      <xdr:rowOff>121424</xdr:rowOff>
    </xdr:from>
    <xdr:to>
      <xdr:col>15</xdr:col>
      <xdr:colOff>530644</xdr:colOff>
      <xdr:row>3</xdr:row>
      <xdr:rowOff>128320</xdr:rowOff>
    </xdr:to>
    <xdr:cxnSp macro="">
      <xdr:nvCxnSpPr>
        <xdr:cNvPr id="5161" name="Прямая соединительная линия 5160"/>
        <xdr:cNvCxnSpPr/>
      </xdr:nvCxnSpPr>
      <xdr:spPr>
        <a:xfrm flipV="1">
          <a:off x="9669170" y="692924"/>
          <a:ext cx="5474" cy="6896"/>
        </a:xfrm>
        <a:prstGeom prst="line">
          <a:avLst/>
        </a:prstGeom>
        <a:ln w="635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530644</xdr:colOff>
      <xdr:row>3</xdr:row>
      <xdr:rowOff>118262</xdr:rowOff>
    </xdr:from>
    <xdr:to>
      <xdr:col>15</xdr:col>
      <xdr:colOff>538174</xdr:colOff>
      <xdr:row>3</xdr:row>
      <xdr:rowOff>121424</xdr:rowOff>
    </xdr:to>
    <xdr:cxnSp macro="">
      <xdr:nvCxnSpPr>
        <xdr:cNvPr id="5162" name="Прямая соединительная линия 5161"/>
        <xdr:cNvCxnSpPr/>
      </xdr:nvCxnSpPr>
      <xdr:spPr>
        <a:xfrm flipV="1">
          <a:off x="9674644" y="689762"/>
          <a:ext cx="7530" cy="3162"/>
        </a:xfrm>
        <a:prstGeom prst="line">
          <a:avLst/>
        </a:prstGeom>
        <a:ln w="635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538174</xdr:colOff>
      <xdr:row>3</xdr:row>
      <xdr:rowOff>118262</xdr:rowOff>
    </xdr:from>
    <xdr:to>
      <xdr:col>15</xdr:col>
      <xdr:colOff>547687</xdr:colOff>
      <xdr:row>3</xdr:row>
      <xdr:rowOff>119062</xdr:rowOff>
    </xdr:to>
    <xdr:cxnSp macro="">
      <xdr:nvCxnSpPr>
        <xdr:cNvPr id="5163" name="Прямая соединительная линия 5162"/>
        <xdr:cNvCxnSpPr/>
      </xdr:nvCxnSpPr>
      <xdr:spPr>
        <a:xfrm>
          <a:off x="9682174" y="689762"/>
          <a:ext cx="9513" cy="800"/>
        </a:xfrm>
        <a:prstGeom prst="line">
          <a:avLst/>
        </a:prstGeom>
        <a:ln w="635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547687</xdr:colOff>
      <xdr:row>3</xdr:row>
      <xdr:rowOff>119062</xdr:rowOff>
    </xdr:from>
    <xdr:to>
      <xdr:col>15</xdr:col>
      <xdr:colOff>559104</xdr:colOff>
      <xdr:row>3</xdr:row>
      <xdr:rowOff>124053</xdr:rowOff>
    </xdr:to>
    <xdr:cxnSp macro="">
      <xdr:nvCxnSpPr>
        <xdr:cNvPr id="5164" name="Прямая соединительная линия 5163"/>
        <xdr:cNvCxnSpPr/>
      </xdr:nvCxnSpPr>
      <xdr:spPr>
        <a:xfrm>
          <a:off x="9691687" y="690562"/>
          <a:ext cx="11417" cy="4991"/>
        </a:xfrm>
        <a:prstGeom prst="line">
          <a:avLst/>
        </a:prstGeom>
        <a:ln w="635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559104</xdr:colOff>
      <xdr:row>3</xdr:row>
      <xdr:rowOff>124053</xdr:rowOff>
    </xdr:from>
    <xdr:to>
      <xdr:col>15</xdr:col>
      <xdr:colOff>572351</xdr:colOff>
      <xdr:row>3</xdr:row>
      <xdr:rowOff>133464</xdr:rowOff>
    </xdr:to>
    <xdr:cxnSp macro="">
      <xdr:nvCxnSpPr>
        <xdr:cNvPr id="5165" name="Прямая соединительная линия 5164"/>
        <xdr:cNvCxnSpPr/>
      </xdr:nvCxnSpPr>
      <xdr:spPr>
        <a:xfrm>
          <a:off x="9703104" y="695553"/>
          <a:ext cx="13247" cy="9411"/>
        </a:xfrm>
        <a:prstGeom prst="line">
          <a:avLst/>
        </a:prstGeom>
        <a:ln w="635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572351</xdr:colOff>
      <xdr:row>3</xdr:row>
      <xdr:rowOff>133464</xdr:rowOff>
    </xdr:from>
    <xdr:to>
      <xdr:col>15</xdr:col>
      <xdr:colOff>587349</xdr:colOff>
      <xdr:row>3</xdr:row>
      <xdr:rowOff>147523</xdr:rowOff>
    </xdr:to>
    <xdr:cxnSp macro="">
      <xdr:nvCxnSpPr>
        <xdr:cNvPr id="5166" name="Прямая соединительная линия 5165"/>
        <xdr:cNvCxnSpPr/>
      </xdr:nvCxnSpPr>
      <xdr:spPr>
        <a:xfrm>
          <a:off x="9716351" y="704964"/>
          <a:ext cx="14998" cy="14059"/>
        </a:xfrm>
        <a:prstGeom prst="line">
          <a:avLst/>
        </a:prstGeom>
        <a:ln w="635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587349</xdr:colOff>
      <xdr:row>3</xdr:row>
      <xdr:rowOff>147523</xdr:rowOff>
    </xdr:from>
    <xdr:to>
      <xdr:col>15</xdr:col>
      <xdr:colOff>604024</xdr:colOff>
      <xdr:row>3</xdr:row>
      <xdr:rowOff>166458</xdr:rowOff>
    </xdr:to>
    <xdr:cxnSp macro="">
      <xdr:nvCxnSpPr>
        <xdr:cNvPr id="5167" name="Прямая соединительная линия 5166"/>
        <xdr:cNvCxnSpPr/>
      </xdr:nvCxnSpPr>
      <xdr:spPr>
        <a:xfrm>
          <a:off x="9731349" y="719023"/>
          <a:ext cx="16675" cy="18935"/>
        </a:xfrm>
        <a:prstGeom prst="line">
          <a:avLst/>
        </a:prstGeom>
        <a:ln w="635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604024</xdr:colOff>
      <xdr:row>3</xdr:row>
      <xdr:rowOff>166458</xdr:rowOff>
    </xdr:from>
    <xdr:to>
      <xdr:col>16</xdr:col>
      <xdr:colOff>12700</xdr:colOff>
      <xdr:row>4</xdr:row>
      <xdr:rowOff>0</xdr:rowOff>
    </xdr:to>
    <xdr:cxnSp macro="">
      <xdr:nvCxnSpPr>
        <xdr:cNvPr id="5168" name="Прямая соединительная линия 5167"/>
        <xdr:cNvCxnSpPr/>
      </xdr:nvCxnSpPr>
      <xdr:spPr>
        <a:xfrm>
          <a:off x="9748024" y="737958"/>
          <a:ext cx="18276" cy="24042"/>
        </a:xfrm>
        <a:prstGeom prst="line">
          <a:avLst/>
        </a:prstGeom>
        <a:ln w="635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12700</xdr:colOff>
      <xdr:row>4</xdr:row>
      <xdr:rowOff>0</xdr:rowOff>
    </xdr:from>
    <xdr:to>
      <xdr:col>16</xdr:col>
      <xdr:colOff>29514</xdr:colOff>
      <xdr:row>4</xdr:row>
      <xdr:rowOff>24790</xdr:rowOff>
    </xdr:to>
    <xdr:cxnSp macro="">
      <xdr:nvCxnSpPr>
        <xdr:cNvPr id="5169" name="Прямая соединительная линия 5168"/>
        <xdr:cNvCxnSpPr/>
      </xdr:nvCxnSpPr>
      <xdr:spPr>
        <a:xfrm>
          <a:off x="9766300" y="762000"/>
          <a:ext cx="16814" cy="24790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29514</xdr:colOff>
      <xdr:row>4</xdr:row>
      <xdr:rowOff>24790</xdr:rowOff>
    </xdr:from>
    <xdr:to>
      <xdr:col>16</xdr:col>
      <xdr:colOff>42062</xdr:colOff>
      <xdr:row>4</xdr:row>
      <xdr:rowOff>45923</xdr:rowOff>
    </xdr:to>
    <xdr:cxnSp macro="">
      <xdr:nvCxnSpPr>
        <xdr:cNvPr id="5170" name="Прямая соединительная линия 5169"/>
        <xdr:cNvCxnSpPr/>
      </xdr:nvCxnSpPr>
      <xdr:spPr>
        <a:xfrm>
          <a:off x="9783114" y="786790"/>
          <a:ext cx="12548" cy="21133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42062</xdr:colOff>
      <xdr:row>4</xdr:row>
      <xdr:rowOff>45923</xdr:rowOff>
    </xdr:from>
    <xdr:to>
      <xdr:col>16</xdr:col>
      <xdr:colOff>50647</xdr:colOff>
      <xdr:row>4</xdr:row>
      <xdr:rowOff>63550</xdr:rowOff>
    </xdr:to>
    <xdr:cxnSp macro="">
      <xdr:nvCxnSpPr>
        <xdr:cNvPr id="5171" name="Прямая соединительная линия 5170"/>
        <xdr:cNvCxnSpPr/>
      </xdr:nvCxnSpPr>
      <xdr:spPr>
        <a:xfrm>
          <a:off x="9795662" y="807923"/>
          <a:ext cx="8585" cy="17627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50647</xdr:colOff>
      <xdr:row>4</xdr:row>
      <xdr:rowOff>63550</xdr:rowOff>
    </xdr:from>
    <xdr:to>
      <xdr:col>16</xdr:col>
      <xdr:colOff>55574</xdr:colOff>
      <xdr:row>4</xdr:row>
      <xdr:rowOff>77825</xdr:rowOff>
    </xdr:to>
    <xdr:cxnSp macro="">
      <xdr:nvCxnSpPr>
        <xdr:cNvPr id="5172" name="Прямая соединительная линия 5171"/>
        <xdr:cNvCxnSpPr/>
      </xdr:nvCxnSpPr>
      <xdr:spPr>
        <a:xfrm>
          <a:off x="9804247" y="825550"/>
          <a:ext cx="4927" cy="14275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55574</xdr:colOff>
      <xdr:row>4</xdr:row>
      <xdr:rowOff>77825</xdr:rowOff>
    </xdr:from>
    <xdr:to>
      <xdr:col>16</xdr:col>
      <xdr:colOff>57150</xdr:colOff>
      <xdr:row>4</xdr:row>
      <xdr:rowOff>88900</xdr:rowOff>
    </xdr:to>
    <xdr:cxnSp macro="">
      <xdr:nvCxnSpPr>
        <xdr:cNvPr id="5173" name="Прямая соединительная линия 5172"/>
        <xdr:cNvCxnSpPr/>
      </xdr:nvCxnSpPr>
      <xdr:spPr>
        <a:xfrm>
          <a:off x="9809174" y="839825"/>
          <a:ext cx="1576" cy="11075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55676</xdr:colOff>
      <xdr:row>4</xdr:row>
      <xdr:rowOff>88900</xdr:rowOff>
    </xdr:from>
    <xdr:to>
      <xdr:col>16</xdr:col>
      <xdr:colOff>57150</xdr:colOff>
      <xdr:row>4</xdr:row>
      <xdr:rowOff>96926</xdr:rowOff>
    </xdr:to>
    <xdr:cxnSp macro="">
      <xdr:nvCxnSpPr>
        <xdr:cNvPr id="5174" name="Прямая соединительная линия 5173"/>
        <xdr:cNvCxnSpPr/>
      </xdr:nvCxnSpPr>
      <xdr:spPr>
        <a:xfrm flipH="1">
          <a:off x="9809276" y="850900"/>
          <a:ext cx="1474" cy="8026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51460</xdr:colOff>
      <xdr:row>4</xdr:row>
      <xdr:rowOff>96926</xdr:rowOff>
    </xdr:from>
    <xdr:to>
      <xdr:col>16</xdr:col>
      <xdr:colOff>55676</xdr:colOff>
      <xdr:row>4</xdr:row>
      <xdr:rowOff>102057</xdr:rowOff>
    </xdr:to>
    <xdr:cxnSp macro="">
      <xdr:nvCxnSpPr>
        <xdr:cNvPr id="5175" name="Прямая соединительная линия 5174"/>
        <xdr:cNvCxnSpPr/>
      </xdr:nvCxnSpPr>
      <xdr:spPr>
        <a:xfrm flipH="1">
          <a:off x="9805060" y="858926"/>
          <a:ext cx="4216" cy="5131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44805</xdr:colOff>
      <xdr:row>4</xdr:row>
      <xdr:rowOff>102057</xdr:rowOff>
    </xdr:from>
    <xdr:to>
      <xdr:col>16</xdr:col>
      <xdr:colOff>51460</xdr:colOff>
      <xdr:row>4</xdr:row>
      <xdr:rowOff>104444</xdr:rowOff>
    </xdr:to>
    <xdr:cxnSp macro="">
      <xdr:nvCxnSpPr>
        <xdr:cNvPr id="5176" name="Прямая соединительная линия 5175"/>
        <xdr:cNvCxnSpPr/>
      </xdr:nvCxnSpPr>
      <xdr:spPr>
        <a:xfrm flipH="1">
          <a:off x="9798405" y="864057"/>
          <a:ext cx="6655" cy="2387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36017</xdr:colOff>
      <xdr:row>4</xdr:row>
      <xdr:rowOff>104241</xdr:rowOff>
    </xdr:from>
    <xdr:to>
      <xdr:col>16</xdr:col>
      <xdr:colOff>44805</xdr:colOff>
      <xdr:row>4</xdr:row>
      <xdr:rowOff>104444</xdr:rowOff>
    </xdr:to>
    <xdr:cxnSp macro="">
      <xdr:nvCxnSpPr>
        <xdr:cNvPr id="5177" name="Прямая соединительная линия 5176"/>
        <xdr:cNvCxnSpPr/>
      </xdr:nvCxnSpPr>
      <xdr:spPr>
        <a:xfrm flipH="1" flipV="1">
          <a:off x="9789617" y="866241"/>
          <a:ext cx="8788" cy="203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25400</xdr:colOff>
      <xdr:row>4</xdr:row>
      <xdr:rowOff>101600</xdr:rowOff>
    </xdr:from>
    <xdr:to>
      <xdr:col>16</xdr:col>
      <xdr:colOff>36017</xdr:colOff>
      <xdr:row>4</xdr:row>
      <xdr:rowOff>104241</xdr:rowOff>
    </xdr:to>
    <xdr:cxnSp macro="">
      <xdr:nvCxnSpPr>
        <xdr:cNvPr id="5178" name="Прямая соединительная линия 5177"/>
        <xdr:cNvCxnSpPr/>
      </xdr:nvCxnSpPr>
      <xdr:spPr>
        <a:xfrm flipH="1" flipV="1">
          <a:off x="9779000" y="863600"/>
          <a:ext cx="10617" cy="2641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9347</xdr:colOff>
      <xdr:row>4</xdr:row>
      <xdr:rowOff>100660</xdr:rowOff>
    </xdr:from>
    <xdr:to>
      <xdr:col>16</xdr:col>
      <xdr:colOff>25400</xdr:colOff>
      <xdr:row>4</xdr:row>
      <xdr:rowOff>101600</xdr:rowOff>
    </xdr:to>
    <xdr:cxnSp macro="">
      <xdr:nvCxnSpPr>
        <xdr:cNvPr id="5179" name="Прямая соединительная линия 5178"/>
        <xdr:cNvCxnSpPr/>
      </xdr:nvCxnSpPr>
      <xdr:spPr>
        <a:xfrm flipH="1" flipV="1">
          <a:off x="9762947" y="862660"/>
          <a:ext cx="16053" cy="940"/>
        </a:xfrm>
        <a:prstGeom prst="line">
          <a:avLst/>
        </a:prstGeom>
        <a:ln w="63500">
          <a:solidFill>
            <a:srgbClr val="0066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608685</xdr:colOff>
      <xdr:row>4</xdr:row>
      <xdr:rowOff>100660</xdr:rowOff>
    </xdr:from>
    <xdr:to>
      <xdr:col>16</xdr:col>
      <xdr:colOff>9347</xdr:colOff>
      <xdr:row>4</xdr:row>
      <xdr:rowOff>104749</xdr:rowOff>
    </xdr:to>
    <xdr:cxnSp macro="">
      <xdr:nvCxnSpPr>
        <xdr:cNvPr id="5180" name="Прямая соединительная линия 5179"/>
        <xdr:cNvCxnSpPr/>
      </xdr:nvCxnSpPr>
      <xdr:spPr>
        <a:xfrm flipH="1">
          <a:off x="9752685" y="862660"/>
          <a:ext cx="10262" cy="4089"/>
        </a:xfrm>
        <a:prstGeom prst="line">
          <a:avLst/>
        </a:prstGeom>
        <a:ln w="63500">
          <a:solidFill>
            <a:srgbClr val="0066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603910</xdr:colOff>
      <xdr:row>4</xdr:row>
      <xdr:rowOff>104749</xdr:rowOff>
    </xdr:from>
    <xdr:to>
      <xdr:col>15</xdr:col>
      <xdr:colOff>608685</xdr:colOff>
      <xdr:row>4</xdr:row>
      <xdr:rowOff>112801</xdr:rowOff>
    </xdr:to>
    <xdr:cxnSp macro="">
      <xdr:nvCxnSpPr>
        <xdr:cNvPr id="5181" name="Прямая соединительная линия 5180"/>
        <xdr:cNvCxnSpPr/>
      </xdr:nvCxnSpPr>
      <xdr:spPr>
        <a:xfrm flipH="1">
          <a:off x="9747910" y="866749"/>
          <a:ext cx="4775" cy="8052"/>
        </a:xfrm>
        <a:prstGeom prst="line">
          <a:avLst/>
        </a:prstGeom>
        <a:ln w="63500">
          <a:solidFill>
            <a:srgbClr val="0066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603910</xdr:colOff>
      <xdr:row>4</xdr:row>
      <xdr:rowOff>112801</xdr:rowOff>
    </xdr:from>
    <xdr:to>
      <xdr:col>15</xdr:col>
      <xdr:colOff>604316</xdr:colOff>
      <xdr:row>4</xdr:row>
      <xdr:rowOff>123748</xdr:rowOff>
    </xdr:to>
    <xdr:cxnSp macro="">
      <xdr:nvCxnSpPr>
        <xdr:cNvPr id="5182" name="Прямая соединительная линия 5181"/>
        <xdr:cNvCxnSpPr/>
      </xdr:nvCxnSpPr>
      <xdr:spPr>
        <a:xfrm>
          <a:off x="9747910" y="874801"/>
          <a:ext cx="406" cy="10947"/>
        </a:xfrm>
        <a:prstGeom prst="line">
          <a:avLst/>
        </a:prstGeom>
        <a:ln w="63500">
          <a:solidFill>
            <a:srgbClr val="0066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604316</xdr:colOff>
      <xdr:row>4</xdr:row>
      <xdr:rowOff>123748</xdr:rowOff>
    </xdr:from>
    <xdr:to>
      <xdr:col>16</xdr:col>
      <xdr:colOff>0</xdr:colOff>
      <xdr:row>4</xdr:row>
      <xdr:rowOff>136525</xdr:rowOff>
    </xdr:to>
    <xdr:cxnSp macro="">
      <xdr:nvCxnSpPr>
        <xdr:cNvPr id="5183" name="Прямая соединительная линия 5182"/>
        <xdr:cNvCxnSpPr/>
      </xdr:nvCxnSpPr>
      <xdr:spPr>
        <a:xfrm>
          <a:off x="9748316" y="885748"/>
          <a:ext cx="5284" cy="12777"/>
        </a:xfrm>
        <a:prstGeom prst="line">
          <a:avLst/>
        </a:prstGeom>
        <a:ln w="63500">
          <a:solidFill>
            <a:srgbClr val="0066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0</xdr:colOff>
      <xdr:row>4</xdr:row>
      <xdr:rowOff>136525</xdr:rowOff>
    </xdr:from>
    <xdr:to>
      <xdr:col>16</xdr:col>
      <xdr:colOff>9855</xdr:colOff>
      <xdr:row>4</xdr:row>
      <xdr:rowOff>150063</xdr:rowOff>
    </xdr:to>
    <xdr:cxnSp macro="">
      <xdr:nvCxnSpPr>
        <xdr:cNvPr id="5184" name="Прямая соединительная линия 5183"/>
        <xdr:cNvCxnSpPr/>
      </xdr:nvCxnSpPr>
      <xdr:spPr>
        <a:xfrm>
          <a:off x="9753600" y="898525"/>
          <a:ext cx="9855" cy="13538"/>
        </a:xfrm>
        <a:prstGeom prst="line">
          <a:avLst/>
        </a:prstGeom>
        <a:ln w="63500">
          <a:solidFill>
            <a:srgbClr val="0066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9855</xdr:colOff>
      <xdr:row>4</xdr:row>
      <xdr:rowOff>150063</xdr:rowOff>
    </xdr:from>
    <xdr:to>
      <xdr:col>16</xdr:col>
      <xdr:colOff>23977</xdr:colOff>
      <xdr:row>4</xdr:row>
      <xdr:rowOff>163296</xdr:rowOff>
    </xdr:to>
    <xdr:cxnSp macro="">
      <xdr:nvCxnSpPr>
        <xdr:cNvPr id="5185" name="Прямая соединительная линия 5184"/>
        <xdr:cNvCxnSpPr/>
      </xdr:nvCxnSpPr>
      <xdr:spPr>
        <a:xfrm>
          <a:off x="9763455" y="912063"/>
          <a:ext cx="14122" cy="13233"/>
        </a:xfrm>
        <a:prstGeom prst="line">
          <a:avLst/>
        </a:prstGeom>
        <a:ln w="63500">
          <a:solidFill>
            <a:srgbClr val="0066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23977</xdr:colOff>
      <xdr:row>4</xdr:row>
      <xdr:rowOff>163296</xdr:rowOff>
    </xdr:from>
    <xdr:to>
      <xdr:col>16</xdr:col>
      <xdr:colOff>42062</xdr:colOff>
      <xdr:row>4</xdr:row>
      <xdr:rowOff>175158</xdr:rowOff>
    </xdr:to>
    <xdr:cxnSp macro="">
      <xdr:nvCxnSpPr>
        <xdr:cNvPr id="5186" name="Прямая соединительная линия 5185"/>
        <xdr:cNvCxnSpPr/>
      </xdr:nvCxnSpPr>
      <xdr:spPr>
        <a:xfrm>
          <a:off x="9777577" y="925296"/>
          <a:ext cx="18085" cy="11862"/>
        </a:xfrm>
        <a:prstGeom prst="line">
          <a:avLst/>
        </a:prstGeom>
        <a:ln w="63500">
          <a:solidFill>
            <a:srgbClr val="0066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42062</xdr:colOff>
      <xdr:row>4</xdr:row>
      <xdr:rowOff>175158</xdr:rowOff>
    </xdr:from>
    <xdr:to>
      <xdr:col>16</xdr:col>
      <xdr:colOff>63804</xdr:colOff>
      <xdr:row>4</xdr:row>
      <xdr:rowOff>184581</xdr:rowOff>
    </xdr:to>
    <xdr:cxnSp macro="">
      <xdr:nvCxnSpPr>
        <xdr:cNvPr id="5187" name="Прямая соединительная линия 5186"/>
        <xdr:cNvCxnSpPr/>
      </xdr:nvCxnSpPr>
      <xdr:spPr>
        <a:xfrm>
          <a:off x="9795662" y="937158"/>
          <a:ext cx="21742" cy="9423"/>
        </a:xfrm>
        <a:prstGeom prst="line">
          <a:avLst/>
        </a:prstGeom>
        <a:ln w="63500">
          <a:solidFill>
            <a:srgbClr val="0066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63804</xdr:colOff>
      <xdr:row>4</xdr:row>
      <xdr:rowOff>184581</xdr:rowOff>
    </xdr:from>
    <xdr:to>
      <xdr:col>16</xdr:col>
      <xdr:colOff>88900</xdr:colOff>
      <xdr:row>5</xdr:row>
      <xdr:rowOff>0</xdr:rowOff>
    </xdr:to>
    <xdr:cxnSp macro="">
      <xdr:nvCxnSpPr>
        <xdr:cNvPr id="5188" name="Прямая соединительная линия 5187"/>
        <xdr:cNvCxnSpPr/>
      </xdr:nvCxnSpPr>
      <xdr:spPr>
        <a:xfrm>
          <a:off x="9817404" y="946581"/>
          <a:ext cx="25096" cy="5919"/>
        </a:xfrm>
        <a:prstGeom prst="line">
          <a:avLst/>
        </a:prstGeom>
        <a:ln w="63500">
          <a:solidFill>
            <a:srgbClr val="0066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355600</xdr:colOff>
      <xdr:row>6</xdr:row>
      <xdr:rowOff>127000</xdr:rowOff>
    </xdr:from>
    <xdr:to>
      <xdr:col>14</xdr:col>
      <xdr:colOff>381113</xdr:colOff>
      <xdr:row>6</xdr:row>
      <xdr:rowOff>171665</xdr:rowOff>
    </xdr:to>
    <xdr:cxnSp macro="">
      <xdr:nvCxnSpPr>
        <xdr:cNvPr id="5189" name="Прямая соединительная линия 5188"/>
        <xdr:cNvCxnSpPr/>
      </xdr:nvCxnSpPr>
      <xdr:spPr>
        <a:xfrm>
          <a:off x="8890000" y="1270000"/>
          <a:ext cx="25513" cy="44665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381113</xdr:colOff>
      <xdr:row>6</xdr:row>
      <xdr:rowOff>171665</xdr:rowOff>
    </xdr:from>
    <xdr:to>
      <xdr:col>14</xdr:col>
      <xdr:colOff>404266</xdr:colOff>
      <xdr:row>7</xdr:row>
      <xdr:rowOff>16459</xdr:rowOff>
    </xdr:to>
    <xdr:cxnSp macro="">
      <xdr:nvCxnSpPr>
        <xdr:cNvPr id="5190" name="Прямая соединительная линия 5189"/>
        <xdr:cNvCxnSpPr/>
      </xdr:nvCxnSpPr>
      <xdr:spPr>
        <a:xfrm>
          <a:off x="8915513" y="1314665"/>
          <a:ext cx="23153" cy="35294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404266</xdr:colOff>
      <xdr:row>7</xdr:row>
      <xdr:rowOff>16459</xdr:rowOff>
    </xdr:from>
    <xdr:to>
      <xdr:col>14</xdr:col>
      <xdr:colOff>424980</xdr:colOff>
      <xdr:row>7</xdr:row>
      <xdr:rowOff>42913</xdr:rowOff>
    </xdr:to>
    <xdr:cxnSp macro="">
      <xdr:nvCxnSpPr>
        <xdr:cNvPr id="5191" name="Прямая соединительная линия 5190"/>
        <xdr:cNvCxnSpPr/>
      </xdr:nvCxnSpPr>
      <xdr:spPr>
        <a:xfrm>
          <a:off x="8938666" y="1349959"/>
          <a:ext cx="20714" cy="26454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424980</xdr:colOff>
      <xdr:row>7</xdr:row>
      <xdr:rowOff>42913</xdr:rowOff>
    </xdr:from>
    <xdr:to>
      <xdr:col>14</xdr:col>
      <xdr:colOff>443179</xdr:colOff>
      <xdr:row>7</xdr:row>
      <xdr:rowOff>61061</xdr:rowOff>
    </xdr:to>
    <xdr:cxnSp macro="">
      <xdr:nvCxnSpPr>
        <xdr:cNvPr id="5192" name="Прямая соединительная линия 5191"/>
        <xdr:cNvCxnSpPr/>
      </xdr:nvCxnSpPr>
      <xdr:spPr>
        <a:xfrm>
          <a:off x="8959380" y="1376413"/>
          <a:ext cx="18199" cy="18148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443179</xdr:colOff>
      <xdr:row>7</xdr:row>
      <xdr:rowOff>61061</xdr:rowOff>
    </xdr:from>
    <xdr:to>
      <xdr:col>14</xdr:col>
      <xdr:colOff>458787</xdr:colOff>
      <xdr:row>7</xdr:row>
      <xdr:rowOff>71437</xdr:rowOff>
    </xdr:to>
    <xdr:cxnSp macro="">
      <xdr:nvCxnSpPr>
        <xdr:cNvPr id="5193" name="Прямая соединительная линия 5192"/>
        <xdr:cNvCxnSpPr/>
      </xdr:nvCxnSpPr>
      <xdr:spPr>
        <a:xfrm>
          <a:off x="8977579" y="1394561"/>
          <a:ext cx="15608" cy="10376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458787</xdr:colOff>
      <xdr:row>7</xdr:row>
      <xdr:rowOff>71437</xdr:rowOff>
    </xdr:from>
    <xdr:to>
      <xdr:col>14</xdr:col>
      <xdr:colOff>471728</xdr:colOff>
      <xdr:row>7</xdr:row>
      <xdr:rowOff>74574</xdr:rowOff>
    </xdr:to>
    <xdr:cxnSp macro="">
      <xdr:nvCxnSpPr>
        <xdr:cNvPr id="5194" name="Прямая соединительная линия 5193"/>
        <xdr:cNvCxnSpPr/>
      </xdr:nvCxnSpPr>
      <xdr:spPr>
        <a:xfrm>
          <a:off x="8993187" y="1404937"/>
          <a:ext cx="12941" cy="3137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471728</xdr:colOff>
      <xdr:row>7</xdr:row>
      <xdr:rowOff>71005</xdr:rowOff>
    </xdr:from>
    <xdr:to>
      <xdr:col>14</xdr:col>
      <xdr:colOff>481927</xdr:colOff>
      <xdr:row>7</xdr:row>
      <xdr:rowOff>74574</xdr:rowOff>
    </xdr:to>
    <xdr:cxnSp macro="">
      <xdr:nvCxnSpPr>
        <xdr:cNvPr id="5195" name="Прямая соединительная линия 5194"/>
        <xdr:cNvCxnSpPr/>
      </xdr:nvCxnSpPr>
      <xdr:spPr>
        <a:xfrm flipV="1">
          <a:off x="9006128" y="1404505"/>
          <a:ext cx="10199" cy="3569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481927</xdr:colOff>
      <xdr:row>7</xdr:row>
      <xdr:rowOff>61264</xdr:rowOff>
    </xdr:from>
    <xdr:to>
      <xdr:col>14</xdr:col>
      <xdr:colOff>489305</xdr:colOff>
      <xdr:row>7</xdr:row>
      <xdr:rowOff>71005</xdr:rowOff>
    </xdr:to>
    <xdr:cxnSp macro="">
      <xdr:nvCxnSpPr>
        <xdr:cNvPr id="5196" name="Прямая соединительная линия 5195"/>
        <xdr:cNvCxnSpPr/>
      </xdr:nvCxnSpPr>
      <xdr:spPr>
        <a:xfrm flipV="1">
          <a:off x="9016327" y="1394764"/>
          <a:ext cx="7378" cy="9741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489305</xdr:colOff>
      <xdr:row>7</xdr:row>
      <xdr:rowOff>45885</xdr:rowOff>
    </xdr:from>
    <xdr:to>
      <xdr:col>14</xdr:col>
      <xdr:colOff>493788</xdr:colOff>
      <xdr:row>7</xdr:row>
      <xdr:rowOff>61264</xdr:rowOff>
    </xdr:to>
    <xdr:cxnSp macro="">
      <xdr:nvCxnSpPr>
        <xdr:cNvPr id="5197" name="Прямая соединительная линия 5196"/>
        <xdr:cNvCxnSpPr/>
      </xdr:nvCxnSpPr>
      <xdr:spPr>
        <a:xfrm flipV="1">
          <a:off x="9023705" y="1379385"/>
          <a:ext cx="4483" cy="15379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493788</xdr:colOff>
      <xdr:row>7</xdr:row>
      <xdr:rowOff>25400</xdr:rowOff>
    </xdr:from>
    <xdr:to>
      <xdr:col>14</xdr:col>
      <xdr:colOff>495300</xdr:colOff>
      <xdr:row>7</xdr:row>
      <xdr:rowOff>45885</xdr:rowOff>
    </xdr:to>
    <xdr:cxnSp macro="">
      <xdr:nvCxnSpPr>
        <xdr:cNvPr id="5198" name="Прямая соединительная линия 5197"/>
        <xdr:cNvCxnSpPr/>
      </xdr:nvCxnSpPr>
      <xdr:spPr>
        <a:xfrm flipV="1">
          <a:off x="9028188" y="1358900"/>
          <a:ext cx="1512" cy="20485"/>
        </a:xfrm>
        <a:prstGeom prst="line">
          <a:avLst/>
        </a:prstGeom>
        <a:ln w="6350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495300</xdr:colOff>
      <xdr:row>7</xdr:row>
      <xdr:rowOff>11722</xdr:rowOff>
    </xdr:from>
    <xdr:to>
      <xdr:col>14</xdr:col>
      <xdr:colOff>496430</xdr:colOff>
      <xdr:row>7</xdr:row>
      <xdr:rowOff>25400</xdr:rowOff>
    </xdr:to>
    <xdr:cxnSp macro="">
      <xdr:nvCxnSpPr>
        <xdr:cNvPr id="5199" name="Прямая соединительная линия 5198"/>
        <xdr:cNvCxnSpPr/>
      </xdr:nvCxnSpPr>
      <xdr:spPr>
        <a:xfrm flipV="1">
          <a:off x="9029700" y="1345222"/>
          <a:ext cx="1130" cy="13678"/>
        </a:xfrm>
        <a:prstGeom prst="line">
          <a:avLst/>
        </a:prstGeom>
        <a:ln w="635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496430</xdr:colOff>
      <xdr:row>7</xdr:row>
      <xdr:rowOff>1320</xdr:rowOff>
    </xdr:from>
    <xdr:to>
      <xdr:col>14</xdr:col>
      <xdr:colOff>499770</xdr:colOff>
      <xdr:row>7</xdr:row>
      <xdr:rowOff>11722</xdr:rowOff>
    </xdr:to>
    <xdr:cxnSp macro="">
      <xdr:nvCxnSpPr>
        <xdr:cNvPr id="5200" name="Прямая соединительная линия 5199"/>
        <xdr:cNvCxnSpPr/>
      </xdr:nvCxnSpPr>
      <xdr:spPr>
        <a:xfrm flipV="1">
          <a:off x="9030830" y="1334820"/>
          <a:ext cx="3340" cy="10402"/>
        </a:xfrm>
        <a:prstGeom prst="line">
          <a:avLst/>
        </a:prstGeom>
        <a:ln w="635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499770</xdr:colOff>
      <xdr:row>6</xdr:row>
      <xdr:rowOff>184924</xdr:rowOff>
    </xdr:from>
    <xdr:to>
      <xdr:col>14</xdr:col>
      <xdr:colOff>505244</xdr:colOff>
      <xdr:row>7</xdr:row>
      <xdr:rowOff>1320</xdr:rowOff>
    </xdr:to>
    <xdr:cxnSp macro="">
      <xdr:nvCxnSpPr>
        <xdr:cNvPr id="5201" name="Прямая соединительная линия 5200"/>
        <xdr:cNvCxnSpPr/>
      </xdr:nvCxnSpPr>
      <xdr:spPr>
        <a:xfrm flipV="1">
          <a:off x="9034170" y="1327924"/>
          <a:ext cx="5474" cy="6896"/>
        </a:xfrm>
        <a:prstGeom prst="line">
          <a:avLst/>
        </a:prstGeom>
        <a:ln w="635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505244</xdr:colOff>
      <xdr:row>6</xdr:row>
      <xdr:rowOff>181762</xdr:rowOff>
    </xdr:from>
    <xdr:to>
      <xdr:col>14</xdr:col>
      <xdr:colOff>512774</xdr:colOff>
      <xdr:row>6</xdr:row>
      <xdr:rowOff>184924</xdr:rowOff>
    </xdr:to>
    <xdr:cxnSp macro="">
      <xdr:nvCxnSpPr>
        <xdr:cNvPr id="5202" name="Прямая соединительная линия 5201"/>
        <xdr:cNvCxnSpPr/>
      </xdr:nvCxnSpPr>
      <xdr:spPr>
        <a:xfrm flipV="1">
          <a:off x="9039644" y="1324762"/>
          <a:ext cx="7530" cy="3162"/>
        </a:xfrm>
        <a:prstGeom prst="line">
          <a:avLst/>
        </a:prstGeom>
        <a:ln w="635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512774</xdr:colOff>
      <xdr:row>6</xdr:row>
      <xdr:rowOff>181762</xdr:rowOff>
    </xdr:from>
    <xdr:to>
      <xdr:col>14</xdr:col>
      <xdr:colOff>522287</xdr:colOff>
      <xdr:row>6</xdr:row>
      <xdr:rowOff>182562</xdr:rowOff>
    </xdr:to>
    <xdr:cxnSp macro="">
      <xdr:nvCxnSpPr>
        <xdr:cNvPr id="5203" name="Прямая соединительная линия 5202"/>
        <xdr:cNvCxnSpPr/>
      </xdr:nvCxnSpPr>
      <xdr:spPr>
        <a:xfrm>
          <a:off x="9047174" y="1324762"/>
          <a:ext cx="9513" cy="800"/>
        </a:xfrm>
        <a:prstGeom prst="line">
          <a:avLst/>
        </a:prstGeom>
        <a:ln w="635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522287</xdr:colOff>
      <xdr:row>6</xdr:row>
      <xdr:rowOff>182562</xdr:rowOff>
    </xdr:from>
    <xdr:to>
      <xdr:col>14</xdr:col>
      <xdr:colOff>533704</xdr:colOff>
      <xdr:row>6</xdr:row>
      <xdr:rowOff>187553</xdr:rowOff>
    </xdr:to>
    <xdr:cxnSp macro="">
      <xdr:nvCxnSpPr>
        <xdr:cNvPr id="5204" name="Прямая соединительная линия 5203"/>
        <xdr:cNvCxnSpPr/>
      </xdr:nvCxnSpPr>
      <xdr:spPr>
        <a:xfrm>
          <a:off x="9056687" y="1325562"/>
          <a:ext cx="11417" cy="4991"/>
        </a:xfrm>
        <a:prstGeom prst="line">
          <a:avLst/>
        </a:prstGeom>
        <a:ln w="635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533704</xdr:colOff>
      <xdr:row>6</xdr:row>
      <xdr:rowOff>187553</xdr:rowOff>
    </xdr:from>
    <xdr:to>
      <xdr:col>14</xdr:col>
      <xdr:colOff>546951</xdr:colOff>
      <xdr:row>7</xdr:row>
      <xdr:rowOff>6464</xdr:rowOff>
    </xdr:to>
    <xdr:cxnSp macro="">
      <xdr:nvCxnSpPr>
        <xdr:cNvPr id="5205" name="Прямая соединительная линия 5204"/>
        <xdr:cNvCxnSpPr/>
      </xdr:nvCxnSpPr>
      <xdr:spPr>
        <a:xfrm>
          <a:off x="9068104" y="1330553"/>
          <a:ext cx="13247" cy="9411"/>
        </a:xfrm>
        <a:prstGeom prst="line">
          <a:avLst/>
        </a:prstGeom>
        <a:ln w="635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546951</xdr:colOff>
      <xdr:row>7</xdr:row>
      <xdr:rowOff>6464</xdr:rowOff>
    </xdr:from>
    <xdr:to>
      <xdr:col>14</xdr:col>
      <xdr:colOff>561949</xdr:colOff>
      <xdr:row>7</xdr:row>
      <xdr:rowOff>20523</xdr:rowOff>
    </xdr:to>
    <xdr:cxnSp macro="">
      <xdr:nvCxnSpPr>
        <xdr:cNvPr id="5206" name="Прямая соединительная линия 5205"/>
        <xdr:cNvCxnSpPr/>
      </xdr:nvCxnSpPr>
      <xdr:spPr>
        <a:xfrm>
          <a:off x="9081351" y="1339964"/>
          <a:ext cx="14998" cy="14059"/>
        </a:xfrm>
        <a:prstGeom prst="line">
          <a:avLst/>
        </a:prstGeom>
        <a:ln w="635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561949</xdr:colOff>
      <xdr:row>7</xdr:row>
      <xdr:rowOff>20523</xdr:rowOff>
    </xdr:from>
    <xdr:to>
      <xdr:col>14</xdr:col>
      <xdr:colOff>578624</xdr:colOff>
      <xdr:row>7</xdr:row>
      <xdr:rowOff>39458</xdr:rowOff>
    </xdr:to>
    <xdr:cxnSp macro="">
      <xdr:nvCxnSpPr>
        <xdr:cNvPr id="5207" name="Прямая соединительная линия 5206"/>
        <xdr:cNvCxnSpPr/>
      </xdr:nvCxnSpPr>
      <xdr:spPr>
        <a:xfrm>
          <a:off x="9096349" y="1354023"/>
          <a:ext cx="16675" cy="18935"/>
        </a:xfrm>
        <a:prstGeom prst="line">
          <a:avLst/>
        </a:prstGeom>
        <a:ln w="635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578624</xdr:colOff>
      <xdr:row>7</xdr:row>
      <xdr:rowOff>39458</xdr:rowOff>
    </xdr:from>
    <xdr:to>
      <xdr:col>14</xdr:col>
      <xdr:colOff>596900</xdr:colOff>
      <xdr:row>7</xdr:row>
      <xdr:rowOff>63500</xdr:rowOff>
    </xdr:to>
    <xdr:cxnSp macro="">
      <xdr:nvCxnSpPr>
        <xdr:cNvPr id="5208" name="Прямая соединительная линия 5207"/>
        <xdr:cNvCxnSpPr/>
      </xdr:nvCxnSpPr>
      <xdr:spPr>
        <a:xfrm>
          <a:off x="9113024" y="1372958"/>
          <a:ext cx="18276" cy="24042"/>
        </a:xfrm>
        <a:prstGeom prst="line">
          <a:avLst/>
        </a:prstGeom>
        <a:ln w="635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596900</xdr:colOff>
      <xdr:row>7</xdr:row>
      <xdr:rowOff>63500</xdr:rowOff>
    </xdr:from>
    <xdr:to>
      <xdr:col>15</xdr:col>
      <xdr:colOff>4114</xdr:colOff>
      <xdr:row>7</xdr:row>
      <xdr:rowOff>88290</xdr:rowOff>
    </xdr:to>
    <xdr:cxnSp macro="">
      <xdr:nvCxnSpPr>
        <xdr:cNvPr id="5209" name="Прямая соединительная линия 5208"/>
        <xdr:cNvCxnSpPr/>
      </xdr:nvCxnSpPr>
      <xdr:spPr>
        <a:xfrm>
          <a:off x="9131300" y="1397000"/>
          <a:ext cx="16814" cy="24790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4114</xdr:colOff>
      <xdr:row>7</xdr:row>
      <xdr:rowOff>88290</xdr:rowOff>
    </xdr:from>
    <xdr:to>
      <xdr:col>15</xdr:col>
      <xdr:colOff>16662</xdr:colOff>
      <xdr:row>7</xdr:row>
      <xdr:rowOff>109423</xdr:rowOff>
    </xdr:to>
    <xdr:cxnSp macro="">
      <xdr:nvCxnSpPr>
        <xdr:cNvPr id="5210" name="Прямая соединительная линия 5209"/>
        <xdr:cNvCxnSpPr/>
      </xdr:nvCxnSpPr>
      <xdr:spPr>
        <a:xfrm>
          <a:off x="9148114" y="1421790"/>
          <a:ext cx="12548" cy="21133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16662</xdr:colOff>
      <xdr:row>7</xdr:row>
      <xdr:rowOff>109423</xdr:rowOff>
    </xdr:from>
    <xdr:to>
      <xdr:col>15</xdr:col>
      <xdr:colOff>25247</xdr:colOff>
      <xdr:row>7</xdr:row>
      <xdr:rowOff>127050</xdr:rowOff>
    </xdr:to>
    <xdr:cxnSp macro="">
      <xdr:nvCxnSpPr>
        <xdr:cNvPr id="5211" name="Прямая соединительная линия 5210"/>
        <xdr:cNvCxnSpPr/>
      </xdr:nvCxnSpPr>
      <xdr:spPr>
        <a:xfrm>
          <a:off x="9160662" y="1442923"/>
          <a:ext cx="8585" cy="17627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25247</xdr:colOff>
      <xdr:row>7</xdr:row>
      <xdr:rowOff>127050</xdr:rowOff>
    </xdr:from>
    <xdr:to>
      <xdr:col>15</xdr:col>
      <xdr:colOff>30174</xdr:colOff>
      <xdr:row>7</xdr:row>
      <xdr:rowOff>141325</xdr:rowOff>
    </xdr:to>
    <xdr:cxnSp macro="">
      <xdr:nvCxnSpPr>
        <xdr:cNvPr id="5212" name="Прямая соединительная линия 5211"/>
        <xdr:cNvCxnSpPr/>
      </xdr:nvCxnSpPr>
      <xdr:spPr>
        <a:xfrm>
          <a:off x="9169247" y="1460550"/>
          <a:ext cx="4927" cy="14275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30174</xdr:colOff>
      <xdr:row>7</xdr:row>
      <xdr:rowOff>141325</xdr:rowOff>
    </xdr:from>
    <xdr:to>
      <xdr:col>15</xdr:col>
      <xdr:colOff>31750</xdr:colOff>
      <xdr:row>7</xdr:row>
      <xdr:rowOff>152400</xdr:rowOff>
    </xdr:to>
    <xdr:cxnSp macro="">
      <xdr:nvCxnSpPr>
        <xdr:cNvPr id="5213" name="Прямая соединительная линия 5212"/>
        <xdr:cNvCxnSpPr/>
      </xdr:nvCxnSpPr>
      <xdr:spPr>
        <a:xfrm>
          <a:off x="9174174" y="1474825"/>
          <a:ext cx="1576" cy="11075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30276</xdr:colOff>
      <xdr:row>7</xdr:row>
      <xdr:rowOff>152400</xdr:rowOff>
    </xdr:from>
    <xdr:to>
      <xdr:col>15</xdr:col>
      <xdr:colOff>31750</xdr:colOff>
      <xdr:row>7</xdr:row>
      <xdr:rowOff>160426</xdr:rowOff>
    </xdr:to>
    <xdr:cxnSp macro="">
      <xdr:nvCxnSpPr>
        <xdr:cNvPr id="5214" name="Прямая соединительная линия 5213"/>
        <xdr:cNvCxnSpPr/>
      </xdr:nvCxnSpPr>
      <xdr:spPr>
        <a:xfrm flipH="1">
          <a:off x="9174276" y="1485900"/>
          <a:ext cx="1474" cy="8026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26060</xdr:colOff>
      <xdr:row>7</xdr:row>
      <xdr:rowOff>160426</xdr:rowOff>
    </xdr:from>
    <xdr:to>
      <xdr:col>15</xdr:col>
      <xdr:colOff>30276</xdr:colOff>
      <xdr:row>7</xdr:row>
      <xdr:rowOff>165557</xdr:rowOff>
    </xdr:to>
    <xdr:cxnSp macro="">
      <xdr:nvCxnSpPr>
        <xdr:cNvPr id="5215" name="Прямая соединительная линия 5214"/>
        <xdr:cNvCxnSpPr/>
      </xdr:nvCxnSpPr>
      <xdr:spPr>
        <a:xfrm flipH="1">
          <a:off x="9170060" y="1493926"/>
          <a:ext cx="4216" cy="5131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19405</xdr:colOff>
      <xdr:row>7</xdr:row>
      <xdr:rowOff>165557</xdr:rowOff>
    </xdr:from>
    <xdr:to>
      <xdr:col>15</xdr:col>
      <xdr:colOff>26060</xdr:colOff>
      <xdr:row>7</xdr:row>
      <xdr:rowOff>167944</xdr:rowOff>
    </xdr:to>
    <xdr:cxnSp macro="">
      <xdr:nvCxnSpPr>
        <xdr:cNvPr id="5216" name="Прямая соединительная линия 5215"/>
        <xdr:cNvCxnSpPr/>
      </xdr:nvCxnSpPr>
      <xdr:spPr>
        <a:xfrm flipH="1">
          <a:off x="9163405" y="1499057"/>
          <a:ext cx="6655" cy="2387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10617</xdr:colOff>
      <xdr:row>7</xdr:row>
      <xdr:rowOff>167741</xdr:rowOff>
    </xdr:from>
    <xdr:to>
      <xdr:col>15</xdr:col>
      <xdr:colOff>19405</xdr:colOff>
      <xdr:row>7</xdr:row>
      <xdr:rowOff>167944</xdr:rowOff>
    </xdr:to>
    <xdr:cxnSp macro="">
      <xdr:nvCxnSpPr>
        <xdr:cNvPr id="5217" name="Прямая соединительная линия 5216"/>
        <xdr:cNvCxnSpPr/>
      </xdr:nvCxnSpPr>
      <xdr:spPr>
        <a:xfrm flipH="1" flipV="1">
          <a:off x="9154617" y="1501241"/>
          <a:ext cx="8788" cy="203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0</xdr:colOff>
      <xdr:row>7</xdr:row>
      <xdr:rowOff>165100</xdr:rowOff>
    </xdr:from>
    <xdr:to>
      <xdr:col>15</xdr:col>
      <xdr:colOff>10617</xdr:colOff>
      <xdr:row>7</xdr:row>
      <xdr:rowOff>167741</xdr:rowOff>
    </xdr:to>
    <xdr:cxnSp macro="">
      <xdr:nvCxnSpPr>
        <xdr:cNvPr id="5218" name="Прямая соединительная линия 5217"/>
        <xdr:cNvCxnSpPr/>
      </xdr:nvCxnSpPr>
      <xdr:spPr>
        <a:xfrm flipH="1" flipV="1">
          <a:off x="9144000" y="1498600"/>
          <a:ext cx="10617" cy="2641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593547</xdr:colOff>
      <xdr:row>7</xdr:row>
      <xdr:rowOff>164160</xdr:rowOff>
    </xdr:from>
    <xdr:to>
      <xdr:col>15</xdr:col>
      <xdr:colOff>0</xdr:colOff>
      <xdr:row>7</xdr:row>
      <xdr:rowOff>165100</xdr:rowOff>
    </xdr:to>
    <xdr:cxnSp macro="">
      <xdr:nvCxnSpPr>
        <xdr:cNvPr id="5219" name="Прямая соединительная линия 5218"/>
        <xdr:cNvCxnSpPr/>
      </xdr:nvCxnSpPr>
      <xdr:spPr>
        <a:xfrm flipH="1" flipV="1">
          <a:off x="9127947" y="1497660"/>
          <a:ext cx="16053" cy="940"/>
        </a:xfrm>
        <a:prstGeom prst="line">
          <a:avLst/>
        </a:prstGeom>
        <a:ln w="63500">
          <a:solidFill>
            <a:srgbClr val="0066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583285</xdr:colOff>
      <xdr:row>7</xdr:row>
      <xdr:rowOff>164160</xdr:rowOff>
    </xdr:from>
    <xdr:to>
      <xdr:col>14</xdr:col>
      <xdr:colOff>593547</xdr:colOff>
      <xdr:row>7</xdr:row>
      <xdr:rowOff>168249</xdr:rowOff>
    </xdr:to>
    <xdr:cxnSp macro="">
      <xdr:nvCxnSpPr>
        <xdr:cNvPr id="5220" name="Прямая соединительная линия 5219"/>
        <xdr:cNvCxnSpPr/>
      </xdr:nvCxnSpPr>
      <xdr:spPr>
        <a:xfrm flipH="1">
          <a:off x="9117685" y="1497660"/>
          <a:ext cx="10262" cy="4089"/>
        </a:xfrm>
        <a:prstGeom prst="line">
          <a:avLst/>
        </a:prstGeom>
        <a:ln w="63500">
          <a:solidFill>
            <a:srgbClr val="0066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578510</xdr:colOff>
      <xdr:row>7</xdr:row>
      <xdr:rowOff>168249</xdr:rowOff>
    </xdr:from>
    <xdr:to>
      <xdr:col>14</xdr:col>
      <xdr:colOff>583285</xdr:colOff>
      <xdr:row>7</xdr:row>
      <xdr:rowOff>176301</xdr:rowOff>
    </xdr:to>
    <xdr:cxnSp macro="">
      <xdr:nvCxnSpPr>
        <xdr:cNvPr id="5221" name="Прямая соединительная линия 5220"/>
        <xdr:cNvCxnSpPr/>
      </xdr:nvCxnSpPr>
      <xdr:spPr>
        <a:xfrm flipH="1">
          <a:off x="9112910" y="1501749"/>
          <a:ext cx="4775" cy="8052"/>
        </a:xfrm>
        <a:prstGeom prst="line">
          <a:avLst/>
        </a:prstGeom>
        <a:ln w="63500">
          <a:solidFill>
            <a:srgbClr val="0066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578510</xdr:colOff>
      <xdr:row>7</xdr:row>
      <xdr:rowOff>176301</xdr:rowOff>
    </xdr:from>
    <xdr:to>
      <xdr:col>14</xdr:col>
      <xdr:colOff>578916</xdr:colOff>
      <xdr:row>7</xdr:row>
      <xdr:rowOff>187248</xdr:rowOff>
    </xdr:to>
    <xdr:cxnSp macro="">
      <xdr:nvCxnSpPr>
        <xdr:cNvPr id="5222" name="Прямая соединительная линия 5221"/>
        <xdr:cNvCxnSpPr/>
      </xdr:nvCxnSpPr>
      <xdr:spPr>
        <a:xfrm>
          <a:off x="9112910" y="1509801"/>
          <a:ext cx="406" cy="10947"/>
        </a:xfrm>
        <a:prstGeom prst="line">
          <a:avLst/>
        </a:prstGeom>
        <a:ln w="63500">
          <a:solidFill>
            <a:srgbClr val="0066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578916</xdr:colOff>
      <xdr:row>7</xdr:row>
      <xdr:rowOff>187248</xdr:rowOff>
    </xdr:from>
    <xdr:to>
      <xdr:col>14</xdr:col>
      <xdr:colOff>584200</xdr:colOff>
      <xdr:row>8</xdr:row>
      <xdr:rowOff>9525</xdr:rowOff>
    </xdr:to>
    <xdr:cxnSp macro="">
      <xdr:nvCxnSpPr>
        <xdr:cNvPr id="5223" name="Прямая соединительная линия 5222"/>
        <xdr:cNvCxnSpPr/>
      </xdr:nvCxnSpPr>
      <xdr:spPr>
        <a:xfrm>
          <a:off x="9113316" y="1520748"/>
          <a:ext cx="5284" cy="12777"/>
        </a:xfrm>
        <a:prstGeom prst="line">
          <a:avLst/>
        </a:prstGeom>
        <a:ln w="63500">
          <a:solidFill>
            <a:srgbClr val="0066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584200</xdr:colOff>
      <xdr:row>8</xdr:row>
      <xdr:rowOff>9525</xdr:rowOff>
    </xdr:from>
    <xdr:to>
      <xdr:col>14</xdr:col>
      <xdr:colOff>594055</xdr:colOff>
      <xdr:row>8</xdr:row>
      <xdr:rowOff>23063</xdr:rowOff>
    </xdr:to>
    <xdr:cxnSp macro="">
      <xdr:nvCxnSpPr>
        <xdr:cNvPr id="5224" name="Прямая соединительная линия 5223"/>
        <xdr:cNvCxnSpPr/>
      </xdr:nvCxnSpPr>
      <xdr:spPr>
        <a:xfrm>
          <a:off x="9118600" y="1533525"/>
          <a:ext cx="9855" cy="13538"/>
        </a:xfrm>
        <a:prstGeom prst="line">
          <a:avLst/>
        </a:prstGeom>
        <a:ln w="63500">
          <a:solidFill>
            <a:srgbClr val="0066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594055</xdr:colOff>
      <xdr:row>8</xdr:row>
      <xdr:rowOff>23063</xdr:rowOff>
    </xdr:from>
    <xdr:to>
      <xdr:col>14</xdr:col>
      <xdr:colOff>608177</xdr:colOff>
      <xdr:row>8</xdr:row>
      <xdr:rowOff>36296</xdr:rowOff>
    </xdr:to>
    <xdr:cxnSp macro="">
      <xdr:nvCxnSpPr>
        <xdr:cNvPr id="5225" name="Прямая соединительная линия 5224"/>
        <xdr:cNvCxnSpPr/>
      </xdr:nvCxnSpPr>
      <xdr:spPr>
        <a:xfrm>
          <a:off x="9128455" y="1547063"/>
          <a:ext cx="14122" cy="13233"/>
        </a:xfrm>
        <a:prstGeom prst="line">
          <a:avLst/>
        </a:prstGeom>
        <a:ln w="63500">
          <a:solidFill>
            <a:srgbClr val="0066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608177</xdr:colOff>
      <xdr:row>8</xdr:row>
      <xdr:rowOff>36296</xdr:rowOff>
    </xdr:from>
    <xdr:to>
      <xdr:col>15</xdr:col>
      <xdr:colOff>16662</xdr:colOff>
      <xdr:row>8</xdr:row>
      <xdr:rowOff>48158</xdr:rowOff>
    </xdr:to>
    <xdr:cxnSp macro="">
      <xdr:nvCxnSpPr>
        <xdr:cNvPr id="5226" name="Прямая соединительная линия 5225"/>
        <xdr:cNvCxnSpPr/>
      </xdr:nvCxnSpPr>
      <xdr:spPr>
        <a:xfrm>
          <a:off x="9142577" y="1560296"/>
          <a:ext cx="18085" cy="11862"/>
        </a:xfrm>
        <a:prstGeom prst="line">
          <a:avLst/>
        </a:prstGeom>
        <a:ln w="63500">
          <a:solidFill>
            <a:srgbClr val="0066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16662</xdr:colOff>
      <xdr:row>8</xdr:row>
      <xdr:rowOff>48158</xdr:rowOff>
    </xdr:from>
    <xdr:to>
      <xdr:col>15</xdr:col>
      <xdr:colOff>38404</xdr:colOff>
      <xdr:row>8</xdr:row>
      <xdr:rowOff>57581</xdr:rowOff>
    </xdr:to>
    <xdr:cxnSp macro="">
      <xdr:nvCxnSpPr>
        <xdr:cNvPr id="5227" name="Прямая соединительная линия 5226"/>
        <xdr:cNvCxnSpPr/>
      </xdr:nvCxnSpPr>
      <xdr:spPr>
        <a:xfrm>
          <a:off x="9160662" y="1572158"/>
          <a:ext cx="21742" cy="9423"/>
        </a:xfrm>
        <a:prstGeom prst="line">
          <a:avLst/>
        </a:prstGeom>
        <a:ln w="63500">
          <a:solidFill>
            <a:srgbClr val="0066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38404</xdr:colOff>
      <xdr:row>8</xdr:row>
      <xdr:rowOff>57581</xdr:rowOff>
    </xdr:from>
    <xdr:to>
      <xdr:col>15</xdr:col>
      <xdr:colOff>63500</xdr:colOff>
      <xdr:row>8</xdr:row>
      <xdr:rowOff>63500</xdr:rowOff>
    </xdr:to>
    <xdr:cxnSp macro="">
      <xdr:nvCxnSpPr>
        <xdr:cNvPr id="5228" name="Прямая соединительная линия 5227"/>
        <xdr:cNvCxnSpPr/>
      </xdr:nvCxnSpPr>
      <xdr:spPr>
        <a:xfrm>
          <a:off x="9182404" y="1581581"/>
          <a:ext cx="25096" cy="5919"/>
        </a:xfrm>
        <a:prstGeom prst="line">
          <a:avLst/>
        </a:prstGeom>
        <a:ln w="63500">
          <a:solidFill>
            <a:srgbClr val="0066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G1:K22"/>
  <sheetViews>
    <sheetView workbookViewId="0">
      <selection activeCell="I4" sqref="I4"/>
    </sheetView>
  </sheetViews>
  <sheetFormatPr defaultRowHeight="15" zeroHeight="1"/>
  <sheetData>
    <row r="1" spans="7:11">
      <c r="K1" t="s">
        <v>61</v>
      </c>
    </row>
    <row r="2" spans="7:11">
      <c r="J2" s="1" t="str">
        <f>CONCATENATE(_XMLbeg,J3,J11,_XMLend)</f>
        <v>&lt;?xml version="1.0" encoding="UTF-8" standalone="no"?&gt;
&lt;svg   xmlns:dc="http://purl.org/dc/elements/1.1/"   xmlns:cc="http://creativecommons.org/ns#"   xmlns:rdf="http://www.w3.org/1999/02/22-rdf-syntax-ns#"   xmlns:svg="http://www.w3.org/2000/svg"   xmlns="http://www.w3.org/2000/svg"   xmlns:sodipodi="http://sodipodi.sourceforge.net/DTD/sodipodi-0.dtd"   xmlns:inkscape="http://www.inkscape.org/namespaces/inkscape"   width="210mm"   height="297mm"   viewBox="0 0 210 297"   version="1.1"   id="svg8"   inkscape:version="0.92.5 (2060ec1f9f, 2020-04-08)"   sodipodi:docname="espelho11.svg"&gt;  &lt;defs     id="defs2" /&gt;  &lt;sodipodi:namedview     id="base"     pagecolor="#ffffff"     bordercolor="#666666"     borderopacity="1.0"     inkscape:pageopacity="0.0"     inkscape:pageshadow="2"     inkscape:zoom="4.7"     inkscape:cx="3.4e+02"     inkscape:cy="1.1e+03"     inkscape:document-units="mm"     inkscape:current-layer="layer1"     showgrid="false"     inkscape:window-width="1366"     inkscape:window-height="705"     inkscape:window-x="-8"     inkscape:window-y="-8"     inkscape:window-maximized="1" /&gt;  &lt;metadata     id="metadata5"&gt;    &lt;rdf:RDF&gt;      &lt;cc:Work         rdf:about=""&gt;        &lt;dc:format&gt;image/svg+xml&lt;/dc:format&gt;        &lt;dc:type           rdf:resource="http://purl.org/dc/dcmitype/StillImage" /&gt;        &lt;dc:title /&gt;      &lt;/cc:Work&gt;    &lt;/rdf:RDF&gt;  &lt;/metadata&gt;  &lt;g     inkscape:label="Layer 1"     inkscape:groupmode="layer"     id="layer1"&gt;&lt;path       style="fill:none;stroke:#000000;stroke-width:0.26px;stroke-linecap:butt;stroke-linejoin:miter;stroke-opacity:1"       d="M 0.00, 0.00 H 100.00 V  100.00 H 0.00 Z"       id="path10"       inkscape:connector-curvature="0" /&gt;    &lt;path       style="fill:none;stroke:#000000;stroke-width:0.26px;stroke-linecap:butt;stroke-linejoin:miter;stroke-opacity:1"       d="M 25,  25 H 75.00 V  75.00 H 25 Z"       id="path12"       inkscape:connector-curvature="0" /&gt;  &lt;/g&gt;&lt;/svg&gt;</v>
      </c>
    </row>
    <row r="3" spans="7:11">
      <c r="J3" s="3" t="str">
        <f>CONCATENATE(J5,J6,J7,J8,J9)</f>
        <v>&lt;path       style="fill:none;stroke:#000000;stroke-width:0.26px;stroke-linecap:butt;stroke-linejoin:miter;stroke-opacity:1"       d="M 0.00, 0.00 H 100.00 V  100.00 H 0.00 Z"       id="path10"       inkscape:connector-curvature="0" /&gt;</v>
      </c>
    </row>
    <row r="4" spans="7:11">
      <c r="G4" t="s">
        <v>59</v>
      </c>
      <c r="H4" s="4">
        <v>50</v>
      </c>
      <c r="I4" s="4" t="str">
        <f>SUBSTITUTE(TEXT(2*H5+H4,"#,00"),",",".")</f>
        <v>100.00</v>
      </c>
    </row>
    <row r="5" spans="7:11">
      <c r="G5" t="s">
        <v>60</v>
      </c>
      <c r="H5" s="4">
        <v>25</v>
      </c>
      <c r="I5" s="4" t="str">
        <f>SUBSTITUTE(TEXT(H4+H5,"0,00"),",",".")</f>
        <v>75.00</v>
      </c>
      <c r="J5" t="s">
        <v>53</v>
      </c>
    </row>
    <row r="6" spans="7:11">
      <c r="J6" t="s">
        <v>54</v>
      </c>
    </row>
    <row r="7" spans="7:11">
      <c r="J7" t="str">
        <f>"       d=""M 0.00, 0.00 H " &amp; I4 &amp; " V  " &amp; I4 &amp; " H 0.00 Z"""</f>
        <v xml:space="preserve">       d="M 0.00, 0.00 H 100.00 V  100.00 H 0.00 Z"</v>
      </c>
    </row>
    <row r="8" spans="7:11">
      <c r="G8">
        <v>25</v>
      </c>
      <c r="J8" t="s">
        <v>55</v>
      </c>
    </row>
    <row r="9" spans="7:11">
      <c r="J9" t="s">
        <v>56</v>
      </c>
    </row>
    <row r="10" spans="7:11"/>
    <row r="11" spans="7:11">
      <c r="J11" s="3" t="str">
        <f>CONCATENATE(J13,J14,J15,J16,J17)</f>
        <v xml:space="preserve">    &lt;path       style="fill:none;stroke:#000000;stroke-width:0.26px;stroke-linecap:butt;stroke-linejoin:miter;stroke-opacity:1"       d="M 25,  25 H 75.00 V  75.00 H 25 Z"       id="path12"       inkscape:connector-curvature="0" /&gt;</v>
      </c>
    </row>
    <row r="12" spans="7:11"/>
    <row r="13" spans="7:11">
      <c r="J13" t="s">
        <v>57</v>
      </c>
    </row>
    <row r="14" spans="7:11">
      <c r="J14" t="s">
        <v>54</v>
      </c>
    </row>
    <row r="15" spans="7:11">
      <c r="J15" t="str">
        <f>"       d=""M " &amp; H5 &amp; ",  " &amp;  H5 &amp; " H " &amp; I5 &amp; " V  " &amp; I5 &amp; " H " &amp; H5 &amp; " Z"""</f>
        <v xml:space="preserve">       d="M 25,  25 H 75.00 V  75.00 H 25 Z"</v>
      </c>
    </row>
    <row r="16" spans="7:11">
      <c r="J16" t="s">
        <v>58</v>
      </c>
    </row>
    <row r="17" spans="10:10">
      <c r="J17" t="s">
        <v>56</v>
      </c>
    </row>
    <row r="18" spans="10:10"/>
    <row r="19" spans="10:10"/>
    <row r="20" spans="10:10"/>
    <row r="21" spans="10:10"/>
    <row r="22" spans="10:10"/>
  </sheetData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J1:K29"/>
  <sheetViews>
    <sheetView workbookViewId="0">
      <selection activeCell="J2" sqref="J2"/>
    </sheetView>
  </sheetViews>
  <sheetFormatPr defaultRowHeight="15" zeroHeight="1"/>
  <sheetData>
    <row r="1" spans="10:11">
      <c r="K1" t="s">
        <v>63</v>
      </c>
    </row>
    <row r="2" spans="10:11">
      <c r="J2" s="1" t="str">
        <f>CONCATENATE(_XMLbeg,J3,_XMLend)</f>
        <v>&lt;?xml version="1.0" encoding="UTF-8" standalone="no"?&gt;
&lt;svg   xmlns:dc="http://purl.org/dc/elements/1.1/"   xmlns:cc="http://creativecommons.org/ns#"   xmlns:rdf="http://www.w3.org/1999/02/22-rdf-syntax-ns#"   xmlns:svg="http://www.w3.org/2000/svg"   xmlns="http://www.w3.org/2000/svg"   xmlns:sodipodi="http://sodipodi.sourceforge.net/DTD/sodipodi-0.dtd"   xmlns:inkscape="http://www.inkscape.org/namespaces/inkscape"   width="210mm"   height="297mm"   viewBox="0 0 210 297"   version="1.1"   id="svg8"   inkscape:version="0.92.5 (2060ec1f9f, 2020-04-08)"   sodipodi:docname="espelho11.svg"&gt;  &lt;defs     id="defs2" /&gt;  &lt;sodipodi:namedview     id="base"     pagecolor="#ffffff"     bordercolor="#666666"     borderopacity="1.0"     inkscape:pageopacity="0.0"     inkscape:pageshadow="2"     inkscape:zoom="4.7"     inkscape:cx="3.4e+02"     inkscape:cy="1.1e+03"     inkscape:document-units="mm"     inkscape:current-layer="layer1"     showgrid="false"     inkscape:window-width="1366"     inkscape:window-height="705"     inkscape:window-x="-8"     inkscape:window-y="-8"     inkscape:window-maximized="1" /&gt;  &lt;metadata     id="metadata5"&gt;    &lt;rdf:RDF&gt;      &lt;cc:Work         rdf:about=""&gt;        &lt;dc:format&gt;image/svg+xml&lt;/dc:format&gt;        &lt;dc:type           rdf:resource="http://purl.org/dc/dcmitype/StillImage" /&gt;        &lt;dc:title /&gt;      &lt;/cc:Work&gt;    &lt;/rdf:RDF&gt;  &lt;/metadata&gt;  &lt;g     inkscape:label="Layer 1"     inkscape:groupmode="layer"     id="layer1"&gt;&lt;path       style="fill:none;stroke:#000000;stroke-width:0.26px;stroke-linecap:butt;stroke-linejoin:miter;stroke-opacity:1"       d="M 100.00, 0.00   C 87.00, 7.00    87.00, 11.00    93.00, 11.00"       id="path16"       inkscape:connector-curvature="0"       sodipodi:nodetypes="cc" /&gt;  &lt;/g&gt;&lt;/svg&gt;</v>
      </c>
    </row>
    <row r="3" spans="10:11">
      <c r="J3" t="str">
        <f>J4</f>
        <v>&lt;path       style="fill:none;stroke:#000000;stroke-width:0.26px;stroke-linecap:butt;stroke-linejoin:miter;stroke-opacity:1"       d="M 100.00, 0.00   C 87.00, 7.00    87.00, 11.00    93.00, 11.00"       id="path16"       inkscape:connector-curvature="0"       sodipodi:nodetypes="cc" /&gt;</v>
      </c>
    </row>
    <row r="4" spans="10:11">
      <c r="J4" s="3" t="str">
        <f>CONCATENATE(J5,J6,J7,J8,J9,J10)</f>
        <v>&lt;path       style="fill:none;stroke:#000000;stroke-width:0.26px;stroke-linecap:butt;stroke-linejoin:miter;stroke-opacity:1"       d="M 100.00, 0.00   C 87.00, 7.00    87.00, 11.00    93.00, 11.00"       id="path16"       inkscape:connector-curvature="0"       sodipodi:nodetypes="cc" /&gt;</v>
      </c>
    </row>
    <row r="5" spans="10:11">
      <c r="J5" t="s">
        <v>53</v>
      </c>
    </row>
    <row r="6" spans="10:11">
      <c r="J6" t="s">
        <v>54</v>
      </c>
    </row>
    <row r="7" spans="10:11">
      <c r="J7" t="s">
        <v>67</v>
      </c>
    </row>
    <row r="8" spans="10:11">
      <c r="J8" t="s">
        <v>64</v>
      </c>
    </row>
    <row r="9" spans="10:11">
      <c r="J9" t="s">
        <v>65</v>
      </c>
    </row>
    <row r="10" spans="10:11">
      <c r="J10" t="s">
        <v>66</v>
      </c>
    </row>
    <row r="11" spans="10:11"/>
    <row r="12" spans="10:11"/>
    <row r="13" spans="10:11"/>
    <row r="14" spans="10:11"/>
    <row r="15" spans="10:11"/>
    <row r="16" spans="10:11"/>
    <row r="17"/>
    <row r="18"/>
    <row r="19"/>
    <row r="20"/>
    <row r="21"/>
    <row r="22"/>
    <row r="23"/>
    <row r="24"/>
    <row r="25"/>
    <row r="26"/>
    <row r="27"/>
    <row r="28"/>
    <row r="29"/>
  </sheetData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4"/>
  <dimension ref="A1:R34"/>
  <sheetViews>
    <sheetView topLeftCell="A13" workbookViewId="0">
      <selection activeCell="Q21" sqref="Q21"/>
    </sheetView>
  </sheetViews>
  <sheetFormatPr defaultRowHeight="15" zeroHeight="1"/>
  <cols>
    <col min="18" max="18" width="11.85546875" customWidth="1"/>
  </cols>
  <sheetData>
    <row r="1" spans="10:11">
      <c r="K1" t="s">
        <v>68</v>
      </c>
    </row>
    <row r="2" spans="10:11">
      <c r="J2" s="1" t="str">
        <f>CONCATENATE(_XMLbeg,J3,_XMLend)</f>
        <v>&lt;?xml version="1.0" encoding="UTF-8" standalone="no"?&gt;
&lt;svg   xmlns:dc="http://purl.org/dc/elements/1.1/"   xmlns:cc="http://creativecommons.org/ns#"   xmlns:rdf="http://www.w3.org/1999/02/22-rdf-syntax-ns#"   xmlns:svg="http://www.w3.org/2000/svg"   xmlns="http://www.w3.org/2000/svg"   xmlns:sodipodi="http://sodipodi.sourceforge.net/DTD/sodipodi-0.dtd"   xmlns:inkscape="http://www.inkscape.org/namespaces/inkscape"   width="210mm"   height="297mm"   viewBox="0 0 210 297"   version="1.1"   id="svg8"   inkscape:version="0.92.5 (2060ec1f9f, 2020-04-08)"   sodipodi:docname="espelho11.svg"&gt;  &lt;defs     id="defs2" /&gt;  &lt;sodipodi:namedview     id="base"     pagecolor="#ffffff"     bordercolor="#666666"     borderopacity="1.0"     inkscape:pageopacity="0.0"     inkscape:pageshadow="2"     inkscape:zoom="4.7"     inkscape:cx="3.4e+02"     inkscape:cy="1.1e+03"     inkscape:document-units="mm"     inkscape:current-layer="layer1"     showgrid="false"     inkscape:window-width="1366"     inkscape:window-height="705"     inkscape:window-x="-8"     inkscape:window-y="-8"     inkscape:window-maximized="1" /&gt;  &lt;metadata     id="metadata5"&gt;    &lt;rdf:RDF&gt;      &lt;cc:Work         rdf:about=""&gt;        &lt;dc:format&gt;image/svg+xml&lt;/dc:format&gt;        &lt;dc:type           rdf:resource="http://purl.org/dc/dcmitype/StillImage" /&gt;        &lt;dc:title /&gt;      &lt;/cc:Work&gt;    &lt;/rdf:RDF&gt;  &lt;/metadata&gt;  &lt;g     inkscape:label="Layer 1"     inkscape:groupmode="layer"     id="layer1"&gt;&lt;path       style="fill:none;stroke:#000000;stroke-width:0.26px;stroke-linecap:butt;stroke-linejoin:miter;stroke-opacity:1"     d="M   100.00,0.00 C   87.00,7.00  87.00,11.00  93.00,11.00  97.00,11.00  97.00,14.00  90.00,19.00  83.00,24.00  81.00,23.00  82.00,20.00  83.00,15.00  76.00,18.00  75.00,25.00"       id="path13"       inkscape:connector-curvature="0"       sodipodi:nodetypes="cszsc" /&gt;  &lt;/g&gt;&lt;/svg&gt;</v>
      </c>
    </row>
    <row r="3" spans="10:11">
      <c r="J3" t="str">
        <f>J4</f>
        <v>&lt;path       style="fill:none;stroke:#000000;stroke-width:0.26px;stroke-linecap:butt;stroke-linejoin:miter;stroke-opacity:1"     d="M   100.00,0.00 C   87.00,7.00  87.00,11.00  93.00,11.00  97.00,11.00  97.00,14.00  90.00,19.00  83.00,24.00  81.00,23.00  82.00,20.00  83.00,15.00  76.00,18.00  75.00,25.00"       id="path13"       inkscape:connector-curvature="0"       sodipodi:nodetypes="cszsc" /&gt;</v>
      </c>
    </row>
    <row r="4" spans="10:11">
      <c r="J4" s="3" t="str">
        <f>CONCATENATE(J5,J6,J7,J8,J9,J10)</f>
        <v>&lt;path       style="fill:none;stroke:#000000;stroke-width:0.26px;stroke-linecap:butt;stroke-linejoin:miter;stroke-opacity:1"     d="M   100.00,0.00 C   87.00,7.00  87.00,11.00  93.00,11.00  97.00,11.00  97.00,14.00  90.00,19.00  83.00,24.00  81.00,23.00  82.00,20.00  83.00,15.00  76.00,18.00  75.00,25.00"       id="path13"       inkscape:connector-curvature="0"       sodipodi:nodetypes="cszsc" /&gt;</v>
      </c>
    </row>
    <row r="5" spans="10:11">
      <c r="J5" t="s">
        <v>53</v>
      </c>
    </row>
    <row r="6" spans="10:11">
      <c r="J6" t="s">
        <v>54</v>
      </c>
    </row>
    <row r="7" spans="10:11">
      <c r="J7" t="str">
        <f>CONCATENATE("     d=""","M ",_T00," C ",_T01,_T02,_T03,_T11,_T12,_T13,_T21,_T22,_T23,_T31,_T32,_T33,"""")</f>
        <v xml:space="preserve">     d="M   100.00,0.00 C   87.00,7.00  87.00,11.00  93.00,11.00  97.00,11.00  97.00,14.00  90.00,19.00  83.00,24.00  81.00,23.00  82.00,20.00  83.00,15.00  76.00,18.00  75.00,25.00"</v>
      </c>
    </row>
    <row r="8" spans="10:11">
      <c r="J8" t="s">
        <v>69</v>
      </c>
    </row>
    <row r="9" spans="10:11">
      <c r="J9" t="s">
        <v>65</v>
      </c>
    </row>
    <row r="10" spans="10:11">
      <c r="J10" t="s">
        <v>70</v>
      </c>
    </row>
    <row r="11" spans="10:11"/>
    <row r="12" spans="10:11"/>
    <row r="13" spans="10:11"/>
    <row r="14" spans="10:11"/>
    <row r="15" spans="10:11"/>
    <row r="16" spans="10:11"/>
    <row r="17" spans="1:18"/>
    <row r="18" spans="1:18"/>
    <row r="19" spans="1:18"/>
    <row r="20" spans="1:18">
      <c r="H20">
        <v>100</v>
      </c>
      <c r="I20">
        <v>0</v>
      </c>
      <c r="N20" s="1">
        <v>100</v>
      </c>
      <c r="O20" s="1">
        <v>0</v>
      </c>
      <c r="P20" s="6" t="str">
        <f>SUBSTITUTE(TEXT(N20,"0,00"),",",".")</f>
        <v>100.00</v>
      </c>
      <c r="Q20" s="6" t="str">
        <f>SUBSTITUTE(TEXT(O20,"0,00"),",",".")</f>
        <v>0.00</v>
      </c>
      <c r="R20" s="5" t="str">
        <f>CONCATENATE("  ",P20,",",Q20)</f>
        <v xml:space="preserve">  100.00,0.00</v>
      </c>
    </row>
    <row r="21" spans="1:18">
      <c r="H21" s="1">
        <f>H$20+J21</f>
        <v>87</v>
      </c>
      <c r="I21" s="1">
        <f>I$20+K21</f>
        <v>7</v>
      </c>
      <c r="J21">
        <v>-13</v>
      </c>
      <c r="K21">
        <v>7</v>
      </c>
      <c r="N21">
        <v>87</v>
      </c>
      <c r="O21">
        <v>7</v>
      </c>
      <c r="P21" t="str">
        <f t="shared" ref="P21:P32" si="0">SUBSTITUTE(TEXT(N21,"0,00"),",",".")</f>
        <v>87.00</v>
      </c>
      <c r="Q21" t="str">
        <f t="shared" ref="Q21:Q32" si="1">SUBSTITUTE(TEXT(O21,"0,00"),",",".")</f>
        <v>7.00</v>
      </c>
      <c r="R21" t="str">
        <f>CONCATENATE("  ",P21,",",Q21)</f>
        <v xml:space="preserve">  87.00,7.00</v>
      </c>
    </row>
    <row r="22" spans="1:18">
      <c r="H22" s="1">
        <f t="shared" ref="H22:H23" si="2">H$20+J22</f>
        <v>87</v>
      </c>
      <c r="I22" s="1">
        <f t="shared" ref="I22:I23" si="3">I$20+K22</f>
        <v>11</v>
      </c>
      <c r="J22">
        <v>-13</v>
      </c>
      <c r="K22">
        <v>11</v>
      </c>
      <c r="N22">
        <v>87</v>
      </c>
      <c r="O22">
        <v>11</v>
      </c>
      <c r="P22" t="str">
        <f t="shared" si="0"/>
        <v>87.00</v>
      </c>
      <c r="Q22" t="str">
        <f t="shared" si="1"/>
        <v>11.00</v>
      </c>
      <c r="R22" t="str">
        <f t="shared" ref="R22:R23" si="4">CONCATENATE("  ",P22,",",Q22)</f>
        <v xml:space="preserve">  87.00,11.00</v>
      </c>
    </row>
    <row r="23" spans="1:18">
      <c r="A23" t="s">
        <v>53</v>
      </c>
      <c r="H23" s="1">
        <f t="shared" si="2"/>
        <v>93</v>
      </c>
      <c r="I23" s="1">
        <f t="shared" si="3"/>
        <v>11</v>
      </c>
      <c r="J23">
        <v>-7</v>
      </c>
      <c r="K23">
        <v>11</v>
      </c>
      <c r="N23">
        <v>93</v>
      </c>
      <c r="O23">
        <v>11</v>
      </c>
      <c r="P23" t="str">
        <f t="shared" si="0"/>
        <v>93.00</v>
      </c>
      <c r="Q23" t="str">
        <f t="shared" si="1"/>
        <v>11.00</v>
      </c>
      <c r="R23" t="str">
        <f t="shared" si="4"/>
        <v xml:space="preserve">  93.00,11.00</v>
      </c>
    </row>
    <row r="24" spans="1:18">
      <c r="A24" t="s">
        <v>54</v>
      </c>
      <c r="H24">
        <f>H$23+J24</f>
        <v>97</v>
      </c>
      <c r="I24">
        <f>I$23+K24</f>
        <v>11</v>
      </c>
      <c r="J24">
        <v>4</v>
      </c>
      <c r="K24">
        <v>0</v>
      </c>
      <c r="N24" s="1">
        <v>97</v>
      </c>
      <c r="O24" s="1">
        <v>11</v>
      </c>
      <c r="P24" s="6" t="str">
        <f t="shared" si="0"/>
        <v>97.00</v>
      </c>
      <c r="Q24" s="6" t="str">
        <f t="shared" si="1"/>
        <v>11.00</v>
      </c>
      <c r="R24" s="5" t="str">
        <f>CONCATENATE("  ",P24,",",Q24)</f>
        <v xml:space="preserve">  97.00,11.00</v>
      </c>
    </row>
    <row r="25" spans="1:18">
      <c r="A25" t="s">
        <v>71</v>
      </c>
      <c r="H25">
        <f t="shared" ref="H25:H26" si="5">H$23+J25</f>
        <v>97</v>
      </c>
      <c r="I25">
        <f t="shared" ref="I25:I26" si="6">I$23+K25</f>
        <v>14</v>
      </c>
      <c r="J25">
        <v>4</v>
      </c>
      <c r="K25">
        <v>3</v>
      </c>
      <c r="N25" s="1">
        <v>97</v>
      </c>
      <c r="O25" s="1">
        <v>14</v>
      </c>
      <c r="P25" s="6" t="str">
        <f t="shared" si="0"/>
        <v>97.00</v>
      </c>
      <c r="Q25" s="6" t="str">
        <f t="shared" si="1"/>
        <v>14.00</v>
      </c>
      <c r="R25" s="5" t="str">
        <f t="shared" ref="R25:R32" si="7">CONCATENATE("  ",P25,",",Q25)</f>
        <v xml:space="preserve">  97.00,14.00</v>
      </c>
    </row>
    <row r="26" spans="1:18">
      <c r="A26" t="s">
        <v>69</v>
      </c>
      <c r="H26">
        <f t="shared" si="5"/>
        <v>90</v>
      </c>
      <c r="I26">
        <f t="shared" si="6"/>
        <v>19</v>
      </c>
      <c r="J26">
        <v>-3</v>
      </c>
      <c r="K26">
        <v>8</v>
      </c>
      <c r="N26" s="1">
        <v>90</v>
      </c>
      <c r="O26" s="1">
        <v>19</v>
      </c>
      <c r="P26" s="6" t="str">
        <f t="shared" si="0"/>
        <v>90.00</v>
      </c>
      <c r="Q26" s="6" t="str">
        <f t="shared" si="1"/>
        <v>19.00</v>
      </c>
      <c r="R26" s="5" t="str">
        <f t="shared" si="7"/>
        <v xml:space="preserve">  90.00,19.00</v>
      </c>
    </row>
    <row r="27" spans="1:18">
      <c r="A27" t="s">
        <v>65</v>
      </c>
      <c r="H27" s="1">
        <f>H$26+J27</f>
        <v>83</v>
      </c>
      <c r="I27" s="1">
        <f>I$26+K27</f>
        <v>24</v>
      </c>
      <c r="J27">
        <v>-7</v>
      </c>
      <c r="K27">
        <v>5</v>
      </c>
      <c r="N27">
        <v>83</v>
      </c>
      <c r="O27">
        <v>24</v>
      </c>
      <c r="P27" t="str">
        <f t="shared" si="0"/>
        <v>83.00</v>
      </c>
      <c r="Q27" t="str">
        <f t="shared" si="1"/>
        <v>24.00</v>
      </c>
      <c r="R27" t="str">
        <f t="shared" si="7"/>
        <v xml:space="preserve">  83.00,24.00</v>
      </c>
    </row>
    <row r="28" spans="1:18">
      <c r="A28" t="s">
        <v>70</v>
      </c>
      <c r="H28" s="1">
        <f t="shared" ref="H28:H29" si="8">H$26+J28</f>
        <v>81</v>
      </c>
      <c r="I28" s="1">
        <f t="shared" ref="I28:I29" si="9">I$26+K28</f>
        <v>23</v>
      </c>
      <c r="J28">
        <v>-9</v>
      </c>
      <c r="K28">
        <v>4</v>
      </c>
      <c r="N28">
        <v>81</v>
      </c>
      <c r="O28">
        <v>23</v>
      </c>
      <c r="P28" t="str">
        <f t="shared" si="0"/>
        <v>81.00</v>
      </c>
      <c r="Q28" t="str">
        <f t="shared" si="1"/>
        <v>23.00</v>
      </c>
      <c r="R28" t="str">
        <f t="shared" si="7"/>
        <v xml:space="preserve">  81.00,23.00</v>
      </c>
    </row>
    <row r="29" spans="1:18">
      <c r="H29" s="1">
        <f t="shared" si="8"/>
        <v>82</v>
      </c>
      <c r="I29" s="1">
        <f t="shared" si="9"/>
        <v>20</v>
      </c>
      <c r="J29">
        <v>-8</v>
      </c>
      <c r="K29">
        <v>1</v>
      </c>
      <c r="N29">
        <v>82</v>
      </c>
      <c r="O29">
        <v>20</v>
      </c>
      <c r="P29" t="str">
        <f t="shared" si="0"/>
        <v>82.00</v>
      </c>
      <c r="Q29" t="str">
        <f t="shared" si="1"/>
        <v>20.00</v>
      </c>
      <c r="R29" t="str">
        <f t="shared" si="7"/>
        <v xml:space="preserve">  82.00,20.00</v>
      </c>
    </row>
    <row r="30" spans="1:18">
      <c r="H30">
        <f>H$29+J30</f>
        <v>83</v>
      </c>
      <c r="I30">
        <f>I$29+K30</f>
        <v>15</v>
      </c>
      <c r="J30">
        <v>1</v>
      </c>
      <c r="K30">
        <v>-5</v>
      </c>
      <c r="N30" s="1">
        <v>83</v>
      </c>
      <c r="O30" s="1">
        <v>15</v>
      </c>
      <c r="P30" s="6" t="str">
        <f t="shared" si="0"/>
        <v>83.00</v>
      </c>
      <c r="Q30" s="6" t="str">
        <f t="shared" si="1"/>
        <v>15.00</v>
      </c>
      <c r="R30" s="5" t="str">
        <f t="shared" si="7"/>
        <v xml:space="preserve">  83.00,15.00</v>
      </c>
    </row>
    <row r="31" spans="1:18">
      <c r="H31">
        <f t="shared" ref="H31:H32" si="10">H$29+J31</f>
        <v>76</v>
      </c>
      <c r="I31">
        <f t="shared" ref="I31:I32" si="11">I$29+K31</f>
        <v>18</v>
      </c>
      <c r="J31">
        <v>-6</v>
      </c>
      <c r="K31">
        <v>-2</v>
      </c>
      <c r="N31" s="1">
        <v>76</v>
      </c>
      <c r="O31" s="1">
        <v>18</v>
      </c>
      <c r="P31" s="6" t="str">
        <f t="shared" si="0"/>
        <v>76.00</v>
      </c>
      <c r="Q31" s="6" t="str">
        <f t="shared" si="1"/>
        <v>18.00</v>
      </c>
      <c r="R31" s="5" t="str">
        <f t="shared" si="7"/>
        <v xml:space="preserve">  76.00,18.00</v>
      </c>
    </row>
    <row r="32" spans="1:18">
      <c r="H32">
        <f t="shared" si="10"/>
        <v>75</v>
      </c>
      <c r="I32">
        <f t="shared" si="11"/>
        <v>25</v>
      </c>
      <c r="J32">
        <v>-7</v>
      </c>
      <c r="K32">
        <v>5</v>
      </c>
      <c r="N32" s="1">
        <v>75</v>
      </c>
      <c r="O32" s="1">
        <v>25</v>
      </c>
      <c r="P32" s="6" t="str">
        <f t="shared" si="0"/>
        <v>75.00</v>
      </c>
      <c r="Q32" s="6" t="str">
        <f t="shared" si="1"/>
        <v>25.00</v>
      </c>
      <c r="R32" s="5" t="str">
        <f t="shared" si="7"/>
        <v xml:space="preserve">  75.00,25.00</v>
      </c>
    </row>
    <row r="33"/>
    <row r="34"/>
  </sheetData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5"/>
  <dimension ref="A1:S69"/>
  <sheetViews>
    <sheetView tabSelected="1" workbookViewId="0"/>
  </sheetViews>
  <sheetFormatPr defaultColWidth="9.140625" defaultRowHeight="15" zeroHeight="1"/>
  <cols>
    <col min="1" max="17" width="9.140625" customWidth="1"/>
  </cols>
  <sheetData>
    <row r="1" spans="1:19"/>
    <row r="2" spans="1:19"/>
    <row r="3" spans="1:19"/>
    <row r="4" spans="1:19"/>
    <row r="5" spans="1:19">
      <c r="A5" t="s">
        <v>75</v>
      </c>
      <c r="H5" t="s">
        <v>77</v>
      </c>
    </row>
    <row r="6" spans="1:19">
      <c r="A6" t="s">
        <v>72</v>
      </c>
      <c r="H6" t="s">
        <v>78</v>
      </c>
    </row>
    <row r="7" spans="1:19"/>
    <row r="8" spans="1:19">
      <c r="A8" s="8" t="s">
        <v>73</v>
      </c>
      <c r="B8" s="7">
        <v>100</v>
      </c>
      <c r="C8" s="7">
        <v>87</v>
      </c>
      <c r="D8" s="7">
        <v>87</v>
      </c>
      <c r="E8" s="7">
        <v>93</v>
      </c>
      <c r="I8" s="20" t="s">
        <v>93</v>
      </c>
      <c r="J8" s="20"/>
    </row>
    <row r="9" spans="1:19">
      <c r="A9" s="8" t="s">
        <v>74</v>
      </c>
      <c r="B9" s="7">
        <v>0</v>
      </c>
      <c r="C9" s="7">
        <v>7</v>
      </c>
      <c r="D9" s="7">
        <v>11</v>
      </c>
      <c r="E9" s="7">
        <v>11</v>
      </c>
      <c r="I9" s="9" t="s">
        <v>73</v>
      </c>
      <c r="J9" s="9" t="s">
        <v>74</v>
      </c>
    </row>
    <row r="10" spans="1:19">
      <c r="A10" s="9" t="s">
        <v>73</v>
      </c>
      <c r="B10" s="1">
        <v>93</v>
      </c>
      <c r="C10" s="1">
        <v>97</v>
      </c>
      <c r="D10" s="1">
        <v>97</v>
      </c>
      <c r="E10" s="1">
        <v>90</v>
      </c>
      <c r="I10" s="1">
        <v>50</v>
      </c>
      <c r="J10" s="1">
        <v>50</v>
      </c>
    </row>
    <row r="11" spans="1:19">
      <c r="A11" s="9" t="s">
        <v>74</v>
      </c>
      <c r="B11" s="1">
        <v>11</v>
      </c>
      <c r="C11" s="1">
        <v>11</v>
      </c>
      <c r="D11" s="1">
        <v>14</v>
      </c>
      <c r="E11" s="1">
        <v>19</v>
      </c>
    </row>
    <row r="12" spans="1:19">
      <c r="A12" s="10" t="s">
        <v>73</v>
      </c>
      <c r="B12" s="6">
        <v>90</v>
      </c>
      <c r="C12" s="6">
        <v>83</v>
      </c>
      <c r="D12" s="6">
        <v>81</v>
      </c>
      <c r="E12" s="6">
        <v>82</v>
      </c>
      <c r="N12" s="24" t="s">
        <v>91</v>
      </c>
      <c r="O12" s="24"/>
    </row>
    <row r="13" spans="1:19" ht="23.25" customHeight="1">
      <c r="A13" s="10" t="s">
        <v>74</v>
      </c>
      <c r="B13" s="6">
        <v>19</v>
      </c>
      <c r="C13" s="6">
        <v>24</v>
      </c>
      <c r="D13" s="6">
        <v>23</v>
      </c>
      <c r="E13" s="6">
        <v>20</v>
      </c>
      <c r="I13" s="28" t="s">
        <v>92</v>
      </c>
      <c r="J13" s="29"/>
      <c r="K13" s="21" t="s">
        <v>86</v>
      </c>
      <c r="L13" s="22"/>
      <c r="M13" s="23"/>
      <c r="N13" s="26" t="s">
        <v>88</v>
      </c>
      <c r="O13" s="27"/>
    </row>
    <row r="14" spans="1:19" ht="15" customHeight="1">
      <c r="A14" s="9" t="s">
        <v>73</v>
      </c>
      <c r="B14" s="1">
        <v>82</v>
      </c>
      <c r="C14" s="1">
        <v>83</v>
      </c>
      <c r="D14" s="1">
        <v>76</v>
      </c>
      <c r="E14" s="1">
        <v>75</v>
      </c>
      <c r="I14" s="30"/>
      <c r="J14" s="31"/>
      <c r="K14" s="25" t="s">
        <v>87</v>
      </c>
      <c r="L14" s="24" t="s">
        <v>88</v>
      </c>
      <c r="M14" s="24"/>
      <c r="N14" s="13" t="s">
        <v>90</v>
      </c>
      <c r="O14" s="14" t="s">
        <v>89</v>
      </c>
    </row>
    <row r="15" spans="1:19">
      <c r="A15" s="9" t="s">
        <v>74</v>
      </c>
      <c r="B15" s="1">
        <v>20</v>
      </c>
      <c r="C15" s="1">
        <v>15</v>
      </c>
      <c r="D15" s="1">
        <v>18</v>
      </c>
      <c r="E15" s="1">
        <v>25</v>
      </c>
      <c r="I15" s="14" t="s">
        <v>73</v>
      </c>
      <c r="J15" s="14" t="s">
        <v>74</v>
      </c>
      <c r="K15" s="25"/>
      <c r="L15" s="13" t="s">
        <v>90</v>
      </c>
      <c r="M15" s="14" t="s">
        <v>89</v>
      </c>
      <c r="N15" s="19">
        <f>RADIANS(O15)</f>
        <v>-1.5707963267948966</v>
      </c>
      <c r="O15" s="16">
        <v>-90</v>
      </c>
      <c r="P15" s="14" t="s">
        <v>73</v>
      </c>
      <c r="Q15" s="14" t="s">
        <v>74</v>
      </c>
      <c r="R15" s="14" t="s">
        <v>73</v>
      </c>
      <c r="S15" s="14" t="s">
        <v>74</v>
      </c>
    </row>
    <row r="16" spans="1:19">
      <c r="B16">
        <v>0</v>
      </c>
      <c r="D16" s="4">
        <f>mLib.Bezier(B$8,C$8,D$8,E$8,$B16)</f>
        <v>100</v>
      </c>
      <c r="E16" s="4">
        <f>mLib.Bezier(B$9,C$9,D$9,E$9,$B16)</f>
        <v>0</v>
      </c>
      <c r="F16" s="12"/>
      <c r="G16" s="12"/>
      <c r="I16" s="4">
        <f t="shared" ref="I16:I59" si="0">D16-_cX</f>
        <v>50</v>
      </c>
      <c r="J16" s="4">
        <f t="shared" ref="J16:J59" si="1">E16+_cY</f>
        <v>50</v>
      </c>
      <c r="K16" s="17">
        <f>SQRT(I16^2+J16^2)</f>
        <v>70.710678118654755</v>
      </c>
      <c r="L16">
        <f>ATAN(J16/I16)</f>
        <v>0.78539816339744828</v>
      </c>
      <c r="M16" s="15">
        <f>DEGREES(L16)</f>
        <v>45</v>
      </c>
      <c r="N16" s="18">
        <f t="shared" ref="N16:N59" si="2">L16+_vRD</f>
        <v>-0.78539816339744828</v>
      </c>
      <c r="O16" s="15">
        <f t="shared" ref="O16:O59" si="3">M16+_vGR</f>
        <v>-45</v>
      </c>
      <c r="P16" s="4">
        <f>K16*COS(N16)</f>
        <v>50.000000000000007</v>
      </c>
      <c r="Q16" s="4">
        <f>K16*SIN(N16)</f>
        <v>-50</v>
      </c>
      <c r="R16" s="4">
        <f t="shared" ref="R16:R59" si="4">P16-_cX</f>
        <v>0</v>
      </c>
      <c r="S16" s="4">
        <f t="shared" ref="S16:S59" si="5">Q16+_cY</f>
        <v>0</v>
      </c>
    </row>
    <row r="17" spans="2:19">
      <c r="B17">
        <v>0.1</v>
      </c>
      <c r="D17" s="4">
        <f>mLib.Bezier(B$8,C$8,D$8,E$8,$B17)</f>
        <v>96.483000000000018</v>
      </c>
      <c r="E17" s="4">
        <f t="shared" ref="E17:E26" si="6">mLib.Bezier(B$9,C$9,D$9,E$9,$B17)</f>
        <v>2.0090000000000003</v>
      </c>
      <c r="F17" s="12"/>
      <c r="G17" s="12"/>
      <c r="I17" s="4">
        <f t="shared" si="0"/>
        <v>46.483000000000018</v>
      </c>
      <c r="J17" s="4">
        <f t="shared" si="1"/>
        <v>52.009</v>
      </c>
      <c r="K17" s="17">
        <f t="shared" ref="K17:K59" si="7">SQRT(I17^2+J17^2)</f>
        <v>69.753891432664901</v>
      </c>
      <c r="L17">
        <f t="shared" ref="L17:L59" si="8">ATAN(J17/I17)</f>
        <v>0.84144548206008596</v>
      </c>
      <c r="M17" s="15">
        <f t="shared" ref="M17:M59" si="9">DEGREES(L17)</f>
        <v>48.211274812393953</v>
      </c>
      <c r="N17" s="18">
        <f t="shared" si="2"/>
        <v>-0.7293508447348106</v>
      </c>
      <c r="O17" s="15">
        <f t="shared" si="3"/>
        <v>-41.788725187606047</v>
      </c>
      <c r="P17" s="4">
        <f t="shared" ref="P17:P59" si="10">K17*COS(N17)</f>
        <v>52.009000000000007</v>
      </c>
      <c r="Q17" s="4">
        <f t="shared" ref="Q17:Q59" si="11">K17*SIN(N17)</f>
        <v>-46.483000000000018</v>
      </c>
      <c r="R17" s="4">
        <f t="shared" si="4"/>
        <v>2.0090000000000074</v>
      </c>
      <c r="S17" s="4">
        <f t="shared" si="5"/>
        <v>3.5169999999999817</v>
      </c>
    </row>
    <row r="18" spans="2:19">
      <c r="B18">
        <v>0.2</v>
      </c>
      <c r="D18" s="4">
        <f t="shared" ref="D18:D26" si="12">mLib.Bezier(B$8,C$8,D$8,E$8,$B18)</f>
        <v>93.704000000000022</v>
      </c>
      <c r="E18" s="4">
        <f t="shared" si="6"/>
        <v>3.8320000000000007</v>
      </c>
      <c r="F18" s="12"/>
      <c r="G18" s="12"/>
      <c r="I18" s="4">
        <f t="shared" si="0"/>
        <v>43.704000000000022</v>
      </c>
      <c r="J18" s="4">
        <f t="shared" si="1"/>
        <v>53.832000000000001</v>
      </c>
      <c r="K18" s="17">
        <f t="shared" si="7"/>
        <v>69.339194111267261</v>
      </c>
      <c r="L18">
        <f t="shared" si="8"/>
        <v>0.88886593062898056</v>
      </c>
      <c r="M18" s="15">
        <f t="shared" si="9"/>
        <v>50.9282663780088</v>
      </c>
      <c r="N18" s="18">
        <f t="shared" si="2"/>
        <v>-0.681930396165916</v>
      </c>
      <c r="O18" s="15">
        <f t="shared" si="3"/>
        <v>-39.0717336219912</v>
      </c>
      <c r="P18" s="4">
        <f t="shared" si="10"/>
        <v>53.831999999999994</v>
      </c>
      <c r="Q18" s="4">
        <f t="shared" si="11"/>
        <v>-43.704000000000015</v>
      </c>
      <c r="R18" s="4">
        <f t="shared" si="4"/>
        <v>3.8319999999999936</v>
      </c>
      <c r="S18" s="4">
        <f t="shared" si="5"/>
        <v>6.2959999999999852</v>
      </c>
    </row>
    <row r="19" spans="2:19">
      <c r="B19">
        <v>0.3</v>
      </c>
      <c r="D19" s="4">
        <f t="shared" si="12"/>
        <v>91.620999999999981</v>
      </c>
      <c r="E19" s="4">
        <f t="shared" si="6"/>
        <v>5.4629999999999992</v>
      </c>
      <c r="F19" s="12"/>
      <c r="G19" s="12"/>
      <c r="I19" s="4">
        <f t="shared" si="0"/>
        <v>41.620999999999981</v>
      </c>
      <c r="J19" s="4">
        <f t="shared" si="1"/>
        <v>55.463000000000001</v>
      </c>
      <c r="K19" s="17">
        <f t="shared" si="7"/>
        <v>69.343002603002404</v>
      </c>
      <c r="L19">
        <f t="shared" si="8"/>
        <v>0.92702121774889024</v>
      </c>
      <c r="M19" s="15">
        <f t="shared" si="9"/>
        <v>53.114403296089492</v>
      </c>
      <c r="N19" s="18">
        <f t="shared" si="2"/>
        <v>-0.64377510904600632</v>
      </c>
      <c r="O19" s="15">
        <f t="shared" si="3"/>
        <v>-36.885596703910508</v>
      </c>
      <c r="P19" s="4">
        <f t="shared" si="10"/>
        <v>55.463000000000001</v>
      </c>
      <c r="Q19" s="4">
        <f t="shared" si="11"/>
        <v>-41.620999999999981</v>
      </c>
      <c r="R19" s="4">
        <f t="shared" si="4"/>
        <v>5.463000000000001</v>
      </c>
      <c r="S19" s="4">
        <f t="shared" si="5"/>
        <v>8.3790000000000191</v>
      </c>
    </row>
    <row r="20" spans="2:19">
      <c r="B20">
        <v>0.4</v>
      </c>
      <c r="D20" s="4">
        <f t="shared" si="12"/>
        <v>90.192000000000007</v>
      </c>
      <c r="E20" s="4">
        <f t="shared" si="6"/>
        <v>6.8960000000000008</v>
      </c>
      <c r="F20" s="12"/>
      <c r="G20" s="12"/>
      <c r="I20" s="4">
        <f t="shared" si="0"/>
        <v>40.192000000000007</v>
      </c>
      <c r="J20" s="4">
        <f t="shared" si="1"/>
        <v>56.896000000000001</v>
      </c>
      <c r="K20" s="17">
        <f t="shared" si="7"/>
        <v>69.660258971669066</v>
      </c>
      <c r="L20">
        <f t="shared" si="8"/>
        <v>0.95578015840987163</v>
      </c>
      <c r="M20" s="15">
        <f t="shared" si="9"/>
        <v>54.762169219230898</v>
      </c>
      <c r="N20" s="18">
        <f t="shared" si="2"/>
        <v>-0.61501616838502493</v>
      </c>
      <c r="O20" s="15">
        <f t="shared" si="3"/>
        <v>-35.237830780769102</v>
      </c>
      <c r="P20" s="4">
        <f t="shared" si="10"/>
        <v>56.896000000000001</v>
      </c>
      <c r="Q20" s="4">
        <f t="shared" si="11"/>
        <v>-40.192000000000007</v>
      </c>
      <c r="R20" s="4">
        <f t="shared" si="4"/>
        <v>6.8960000000000008</v>
      </c>
      <c r="S20" s="4">
        <f t="shared" si="5"/>
        <v>9.8079999999999927</v>
      </c>
    </row>
    <row r="21" spans="2:19">
      <c r="B21">
        <v>0.5</v>
      </c>
      <c r="D21" s="4">
        <f t="shared" si="12"/>
        <v>89.375</v>
      </c>
      <c r="E21" s="4">
        <f t="shared" si="6"/>
        <v>8.125</v>
      </c>
      <c r="F21" s="12"/>
      <c r="G21" s="12"/>
      <c r="I21" s="4">
        <f t="shared" si="0"/>
        <v>39.375</v>
      </c>
      <c r="J21" s="4">
        <f t="shared" si="1"/>
        <v>58.125</v>
      </c>
      <c r="K21" s="17">
        <f t="shared" si="7"/>
        <v>70.20616960068395</v>
      </c>
      <c r="L21">
        <f t="shared" si="8"/>
        <v>0.97538645131616408</v>
      </c>
      <c r="M21" s="15">
        <f t="shared" si="9"/>
        <v>55.885527054658745</v>
      </c>
      <c r="N21" s="18">
        <f t="shared" si="2"/>
        <v>-0.59540987547873248</v>
      </c>
      <c r="O21" s="15">
        <f t="shared" si="3"/>
        <v>-34.114472945341255</v>
      </c>
      <c r="P21" s="4">
        <f t="shared" si="10"/>
        <v>58.125</v>
      </c>
      <c r="Q21" s="4">
        <f t="shared" si="11"/>
        <v>-39.374999999999986</v>
      </c>
      <c r="R21" s="4">
        <f t="shared" si="4"/>
        <v>8.125</v>
      </c>
      <c r="S21" s="4">
        <f t="shared" si="5"/>
        <v>10.625000000000014</v>
      </c>
    </row>
    <row r="22" spans="2:19">
      <c r="B22">
        <v>0.6</v>
      </c>
      <c r="D22" s="4">
        <f t="shared" si="12"/>
        <v>89.128</v>
      </c>
      <c r="E22" s="4">
        <f t="shared" si="6"/>
        <v>9.1440000000000001</v>
      </c>
      <c r="F22" s="12"/>
      <c r="G22" s="12"/>
      <c r="I22" s="4">
        <f t="shared" si="0"/>
        <v>39.128</v>
      </c>
      <c r="J22" s="4">
        <f t="shared" si="1"/>
        <v>59.143999999999998</v>
      </c>
      <c r="K22" s="17">
        <f t="shared" si="7"/>
        <v>70.915535110439663</v>
      </c>
      <c r="L22">
        <f t="shared" si="8"/>
        <v>0.98632926747822058</v>
      </c>
      <c r="M22" s="15">
        <f t="shared" si="9"/>
        <v>56.512504236732127</v>
      </c>
      <c r="N22" s="18">
        <f t="shared" si="2"/>
        <v>-0.58446705931667597</v>
      </c>
      <c r="O22" s="15">
        <f t="shared" si="3"/>
        <v>-33.487495763267873</v>
      </c>
      <c r="P22" s="4">
        <f t="shared" si="10"/>
        <v>59.144000000000005</v>
      </c>
      <c r="Q22" s="4">
        <f t="shared" si="11"/>
        <v>-39.127999999999993</v>
      </c>
      <c r="R22" s="4">
        <f t="shared" si="4"/>
        <v>9.1440000000000055</v>
      </c>
      <c r="S22" s="4">
        <f t="shared" si="5"/>
        <v>10.872000000000007</v>
      </c>
    </row>
    <row r="23" spans="2:19">
      <c r="B23">
        <v>0.7</v>
      </c>
      <c r="D23" s="4">
        <f t="shared" si="12"/>
        <v>89.409000000000006</v>
      </c>
      <c r="E23" s="4">
        <f t="shared" si="6"/>
        <v>9.9469999999999992</v>
      </c>
      <c r="F23" s="12"/>
      <c r="G23" s="12"/>
      <c r="I23" s="4">
        <f t="shared" si="0"/>
        <v>39.409000000000006</v>
      </c>
      <c r="J23" s="4">
        <f t="shared" si="1"/>
        <v>59.947000000000003</v>
      </c>
      <c r="K23" s="17">
        <f t="shared" si="7"/>
        <v>71.740588860142495</v>
      </c>
      <c r="L23">
        <f t="shared" si="8"/>
        <v>0.98923841266801293</v>
      </c>
      <c r="M23" s="15">
        <f t="shared" si="9"/>
        <v>56.679185978098012</v>
      </c>
      <c r="N23" s="18">
        <f t="shared" si="2"/>
        <v>-0.58155791412688362</v>
      </c>
      <c r="O23" s="15">
        <f t="shared" si="3"/>
        <v>-33.320814021901988</v>
      </c>
      <c r="P23" s="4">
        <f t="shared" si="10"/>
        <v>59.94700000000001</v>
      </c>
      <c r="Q23" s="4">
        <f t="shared" si="11"/>
        <v>-39.409000000000006</v>
      </c>
      <c r="R23" s="4">
        <f t="shared" si="4"/>
        <v>9.9470000000000098</v>
      </c>
      <c r="S23" s="4">
        <f t="shared" si="5"/>
        <v>10.590999999999994</v>
      </c>
    </row>
    <row r="24" spans="2:19">
      <c r="B24">
        <v>0.8</v>
      </c>
      <c r="D24" s="4">
        <f t="shared" si="12"/>
        <v>90.176000000000002</v>
      </c>
      <c r="E24" s="4">
        <f t="shared" si="6"/>
        <v>10.528</v>
      </c>
      <c r="F24" s="12"/>
      <c r="G24" s="12"/>
      <c r="I24" s="4">
        <f t="shared" si="0"/>
        <v>40.176000000000002</v>
      </c>
      <c r="J24" s="4">
        <f t="shared" si="1"/>
        <v>60.527999999999999</v>
      </c>
      <c r="K24" s="17">
        <f t="shared" si="7"/>
        <v>72.648122893850456</v>
      </c>
      <c r="L24">
        <f t="shared" si="8"/>
        <v>0.98480948009199065</v>
      </c>
      <c r="M24" s="15">
        <f t="shared" si="9"/>
        <v>56.425426833743934</v>
      </c>
      <c r="N24" s="18">
        <f t="shared" si="2"/>
        <v>-0.58598684670290591</v>
      </c>
      <c r="O24" s="15">
        <f t="shared" si="3"/>
        <v>-33.574573166256066</v>
      </c>
      <c r="P24" s="4">
        <f t="shared" si="10"/>
        <v>60.527999999999999</v>
      </c>
      <c r="Q24" s="4">
        <f t="shared" si="11"/>
        <v>-40.175999999999995</v>
      </c>
      <c r="R24" s="4">
        <f t="shared" si="4"/>
        <v>10.527999999999999</v>
      </c>
      <c r="S24" s="4">
        <f t="shared" si="5"/>
        <v>9.8240000000000052</v>
      </c>
    </row>
    <row r="25" spans="2:19">
      <c r="B25">
        <v>0.9</v>
      </c>
      <c r="D25" s="4">
        <f t="shared" si="12"/>
        <v>91.387</v>
      </c>
      <c r="E25" s="4">
        <f t="shared" si="6"/>
        <v>10.881</v>
      </c>
      <c r="F25" s="12"/>
      <c r="G25" s="12"/>
      <c r="I25" s="4">
        <f t="shared" si="0"/>
        <v>41.387</v>
      </c>
      <c r="J25" s="4">
        <f t="shared" si="1"/>
        <v>60.881</v>
      </c>
      <c r="K25" s="17">
        <f t="shared" si="7"/>
        <v>73.616437906217655</v>
      </c>
      <c r="L25">
        <f t="shared" si="8"/>
        <v>0.97375536220301551</v>
      </c>
      <c r="M25" s="15">
        <f t="shared" si="9"/>
        <v>55.792072532465596</v>
      </c>
      <c r="N25" s="18">
        <f t="shared" si="2"/>
        <v>-0.59704096459188105</v>
      </c>
      <c r="O25" s="15">
        <f t="shared" si="3"/>
        <v>-34.207927467534404</v>
      </c>
      <c r="P25" s="4">
        <f t="shared" si="10"/>
        <v>60.881</v>
      </c>
      <c r="Q25" s="4">
        <f t="shared" si="11"/>
        <v>-41.386999999999986</v>
      </c>
      <c r="R25" s="4">
        <f t="shared" si="4"/>
        <v>10.881</v>
      </c>
      <c r="S25" s="4">
        <f t="shared" si="5"/>
        <v>8.6130000000000138</v>
      </c>
    </row>
    <row r="26" spans="2:19">
      <c r="B26">
        <v>1</v>
      </c>
      <c r="D26" s="4">
        <f t="shared" si="12"/>
        <v>93</v>
      </c>
      <c r="E26" s="4">
        <f t="shared" si="6"/>
        <v>11</v>
      </c>
      <c r="F26" s="12"/>
      <c r="G26" s="12"/>
      <c r="I26" s="4">
        <f t="shared" si="0"/>
        <v>43</v>
      </c>
      <c r="J26" s="4">
        <f t="shared" si="1"/>
        <v>61</v>
      </c>
      <c r="K26" s="17">
        <f t="shared" si="7"/>
        <v>74.632432628181164</v>
      </c>
      <c r="L26">
        <f t="shared" si="8"/>
        <v>0.95677728978695598</v>
      </c>
      <c r="M26" s="15">
        <f t="shared" si="9"/>
        <v>54.819300638757902</v>
      </c>
      <c r="N26" s="18">
        <f t="shared" si="2"/>
        <v>-0.61401903700794058</v>
      </c>
      <c r="O26" s="15">
        <f t="shared" si="3"/>
        <v>-35.180699361242098</v>
      </c>
      <c r="P26" s="4">
        <f t="shared" si="10"/>
        <v>61.000000000000007</v>
      </c>
      <c r="Q26" s="4">
        <f t="shared" si="11"/>
        <v>-43</v>
      </c>
      <c r="R26" s="4">
        <f t="shared" si="4"/>
        <v>11.000000000000007</v>
      </c>
      <c r="S26" s="4">
        <f t="shared" si="5"/>
        <v>7</v>
      </c>
    </row>
    <row r="27" spans="2:19">
      <c r="B27" s="1">
        <v>0</v>
      </c>
      <c r="D27" s="11">
        <f>mLib.Bezier(B$10,C$10,D$10,E$10,$B27)</f>
        <v>93</v>
      </c>
      <c r="E27" s="11">
        <f>mLib.Bezier(B$11,C$11,D$11,E$11,$B27)</f>
        <v>11</v>
      </c>
      <c r="F27" s="12"/>
      <c r="G27" s="12"/>
      <c r="I27" s="4">
        <f t="shared" si="0"/>
        <v>43</v>
      </c>
      <c r="J27" s="4">
        <f t="shared" si="1"/>
        <v>61</v>
      </c>
      <c r="K27" s="17">
        <f t="shared" si="7"/>
        <v>74.632432628181164</v>
      </c>
      <c r="L27">
        <f t="shared" si="8"/>
        <v>0.95677728978695598</v>
      </c>
      <c r="M27" s="15">
        <f t="shared" si="9"/>
        <v>54.819300638757902</v>
      </c>
      <c r="N27" s="18">
        <f t="shared" si="2"/>
        <v>-0.61401903700794058</v>
      </c>
      <c r="O27" s="15">
        <f t="shared" si="3"/>
        <v>-35.180699361242098</v>
      </c>
      <c r="P27" s="4">
        <f t="shared" si="10"/>
        <v>61.000000000000007</v>
      </c>
      <c r="Q27" s="4">
        <f t="shared" si="11"/>
        <v>-43</v>
      </c>
      <c r="R27" s="4">
        <f t="shared" si="4"/>
        <v>11.000000000000007</v>
      </c>
      <c r="S27" s="4">
        <f t="shared" si="5"/>
        <v>7</v>
      </c>
    </row>
    <row r="28" spans="2:19">
      <c r="B28" s="1">
        <v>0.1</v>
      </c>
      <c r="D28" s="11">
        <f t="shared" ref="D28:D37" si="13">mLib.Bezier(B$10,C$10,D$10,E$10,$B28)</f>
        <v>94.077000000000012</v>
      </c>
      <c r="E28" s="11">
        <f t="shared" ref="E28:E37" si="14">mLib.Bezier(B$11,C$11,D$11,E$11,$B28)</f>
        <v>11.089000000000002</v>
      </c>
      <c r="F28" s="12"/>
      <c r="G28" s="12"/>
      <c r="I28" s="4">
        <f t="shared" si="0"/>
        <v>44.077000000000012</v>
      </c>
      <c r="J28" s="4">
        <f t="shared" si="1"/>
        <v>61.088999999999999</v>
      </c>
      <c r="K28" s="17">
        <f t="shared" si="7"/>
        <v>75.330258528694841</v>
      </c>
      <c r="L28">
        <f t="shared" si="8"/>
        <v>0.94577224468224741</v>
      </c>
      <c r="M28" s="15">
        <f t="shared" si="9"/>
        <v>54.188758000906994</v>
      </c>
      <c r="N28" s="18">
        <f t="shared" si="2"/>
        <v>-0.62502408211264915</v>
      </c>
      <c r="O28" s="15">
        <f t="shared" si="3"/>
        <v>-35.811241999093006</v>
      </c>
      <c r="P28" s="4">
        <f t="shared" si="10"/>
        <v>61.089000000000006</v>
      </c>
      <c r="Q28" s="4">
        <f t="shared" si="11"/>
        <v>-44.077000000000005</v>
      </c>
      <c r="R28" s="4">
        <f t="shared" si="4"/>
        <v>11.089000000000006</v>
      </c>
      <c r="S28" s="4">
        <f t="shared" si="5"/>
        <v>5.9229999999999947</v>
      </c>
    </row>
    <row r="29" spans="2:19">
      <c r="B29" s="1">
        <v>0.2</v>
      </c>
      <c r="D29" s="11">
        <f t="shared" si="13"/>
        <v>94.896000000000029</v>
      </c>
      <c r="E29" s="11">
        <f t="shared" si="14"/>
        <v>11.352000000000002</v>
      </c>
      <c r="F29" s="12"/>
      <c r="G29" s="12"/>
      <c r="I29" s="4">
        <f t="shared" si="0"/>
        <v>44.896000000000029</v>
      </c>
      <c r="J29" s="4">
        <f t="shared" si="1"/>
        <v>61.352000000000004</v>
      </c>
      <c r="K29" s="17">
        <f t="shared" si="7"/>
        <v>76.024461326601994</v>
      </c>
      <c r="L29">
        <f t="shared" si="8"/>
        <v>0.93906012389495164</v>
      </c>
      <c r="M29" s="15">
        <f t="shared" si="9"/>
        <v>53.804181808212917</v>
      </c>
      <c r="N29" s="18">
        <f t="shared" si="2"/>
        <v>-0.63173620289994492</v>
      </c>
      <c r="O29" s="15">
        <f t="shared" si="3"/>
        <v>-36.195818191787083</v>
      </c>
      <c r="P29" s="4">
        <f t="shared" si="10"/>
        <v>61.352000000000004</v>
      </c>
      <c r="Q29" s="4">
        <f t="shared" si="11"/>
        <v>-44.896000000000015</v>
      </c>
      <c r="R29" s="4">
        <f t="shared" si="4"/>
        <v>11.352000000000004</v>
      </c>
      <c r="S29" s="4">
        <f t="shared" si="5"/>
        <v>5.103999999999985</v>
      </c>
    </row>
    <row r="30" spans="2:19">
      <c r="B30" s="1">
        <v>0.3</v>
      </c>
      <c r="D30" s="11">
        <f t="shared" si="13"/>
        <v>95.438999999999979</v>
      </c>
      <c r="E30" s="11">
        <f t="shared" si="14"/>
        <v>11.782999999999998</v>
      </c>
      <c r="F30" s="12"/>
      <c r="G30" s="12"/>
      <c r="I30" s="4">
        <f t="shared" si="0"/>
        <v>45.438999999999979</v>
      </c>
      <c r="J30" s="4">
        <f t="shared" si="1"/>
        <v>61.783000000000001</v>
      </c>
      <c r="K30" s="17">
        <f t="shared" si="7"/>
        <v>76.693166644753944</v>
      </c>
      <c r="L30">
        <f t="shared" si="8"/>
        <v>0.93666515989549703</v>
      </c>
      <c r="M30" s="15">
        <f t="shared" si="9"/>
        <v>53.666960478958394</v>
      </c>
      <c r="N30" s="18">
        <f t="shared" si="2"/>
        <v>-0.63413116689939952</v>
      </c>
      <c r="O30" s="15">
        <f t="shared" si="3"/>
        <v>-36.333039521041606</v>
      </c>
      <c r="P30" s="4">
        <f t="shared" si="10"/>
        <v>61.783000000000008</v>
      </c>
      <c r="Q30" s="4">
        <f t="shared" si="11"/>
        <v>-45.438999999999979</v>
      </c>
      <c r="R30" s="4">
        <f t="shared" si="4"/>
        <v>11.783000000000008</v>
      </c>
      <c r="S30" s="4">
        <f t="shared" si="5"/>
        <v>4.5610000000000213</v>
      </c>
    </row>
    <row r="31" spans="2:19">
      <c r="B31" s="1">
        <v>0.4</v>
      </c>
      <c r="D31" s="11">
        <f t="shared" si="13"/>
        <v>95.688000000000002</v>
      </c>
      <c r="E31" s="11">
        <f t="shared" si="14"/>
        <v>12.375999999999999</v>
      </c>
      <c r="F31" s="12"/>
      <c r="G31" s="12"/>
      <c r="I31" s="4">
        <f t="shared" si="0"/>
        <v>45.688000000000002</v>
      </c>
      <c r="J31" s="4">
        <f t="shared" si="1"/>
        <v>62.375999999999998</v>
      </c>
      <c r="K31" s="17">
        <f t="shared" si="7"/>
        <v>77.31855353018446</v>
      </c>
      <c r="L31">
        <f t="shared" si="8"/>
        <v>0.93861486446234121</v>
      </c>
      <c r="M31" s="15">
        <f t="shared" si="9"/>
        <v>53.778670321935948</v>
      </c>
      <c r="N31" s="18">
        <f t="shared" si="2"/>
        <v>-0.63218146233255534</v>
      </c>
      <c r="O31" s="15">
        <f t="shared" si="3"/>
        <v>-36.221329678064052</v>
      </c>
      <c r="P31" s="4">
        <f t="shared" si="10"/>
        <v>62.375999999999998</v>
      </c>
      <c r="Q31" s="4">
        <f t="shared" si="11"/>
        <v>-45.687999999999995</v>
      </c>
      <c r="R31" s="4">
        <f t="shared" si="4"/>
        <v>12.375999999999998</v>
      </c>
      <c r="S31" s="4">
        <f t="shared" si="5"/>
        <v>4.3120000000000047</v>
      </c>
    </row>
    <row r="32" spans="2:19">
      <c r="B32" s="1">
        <v>0.5</v>
      </c>
      <c r="D32" s="11">
        <f t="shared" si="13"/>
        <v>95.625</v>
      </c>
      <c r="E32" s="11">
        <f t="shared" si="14"/>
        <v>13.125</v>
      </c>
      <c r="F32" s="12"/>
      <c r="G32" s="12"/>
      <c r="I32" s="4">
        <f t="shared" si="0"/>
        <v>45.625</v>
      </c>
      <c r="J32" s="4">
        <f t="shared" si="1"/>
        <v>63.125</v>
      </c>
      <c r="K32" s="17">
        <f t="shared" si="7"/>
        <v>77.887137898371904</v>
      </c>
      <c r="L32">
        <f t="shared" si="8"/>
        <v>0.94494988433070815</v>
      </c>
      <c r="M32" s="15">
        <f t="shared" si="9"/>
        <v>54.141640223524895</v>
      </c>
      <c r="N32" s="18">
        <f t="shared" si="2"/>
        <v>-0.62584644246418841</v>
      </c>
      <c r="O32" s="15">
        <f t="shared" si="3"/>
        <v>-35.858359776475105</v>
      </c>
      <c r="P32" s="4">
        <f t="shared" si="10"/>
        <v>63.125000000000007</v>
      </c>
      <c r="Q32" s="4">
        <f t="shared" si="11"/>
        <v>-45.625</v>
      </c>
      <c r="R32" s="4">
        <f t="shared" si="4"/>
        <v>13.125000000000007</v>
      </c>
      <c r="S32" s="4">
        <f t="shared" si="5"/>
        <v>4.375</v>
      </c>
    </row>
    <row r="33" spans="2:19">
      <c r="B33" s="1">
        <v>0.6</v>
      </c>
      <c r="D33" s="11">
        <f t="shared" si="13"/>
        <v>95.231999999999999</v>
      </c>
      <c r="E33" s="11">
        <f t="shared" si="14"/>
        <v>14.024000000000001</v>
      </c>
      <c r="F33" s="12"/>
      <c r="G33" s="12"/>
      <c r="I33" s="4">
        <f t="shared" si="0"/>
        <v>45.231999999999999</v>
      </c>
      <c r="J33" s="4">
        <f t="shared" si="1"/>
        <v>64.024000000000001</v>
      </c>
      <c r="K33" s="17">
        <f t="shared" si="7"/>
        <v>78.390091210560541</v>
      </c>
      <c r="L33">
        <f t="shared" si="8"/>
        <v>0.9557312150015238</v>
      </c>
      <c r="M33" s="15">
        <f t="shared" si="9"/>
        <v>54.759364968497586</v>
      </c>
      <c r="N33" s="18">
        <f t="shared" si="2"/>
        <v>-0.61506511179337275</v>
      </c>
      <c r="O33" s="15">
        <f t="shared" si="3"/>
        <v>-35.240635031502414</v>
      </c>
      <c r="P33" s="4">
        <f t="shared" si="10"/>
        <v>64.024000000000001</v>
      </c>
      <c r="Q33" s="4">
        <f t="shared" si="11"/>
        <v>-45.231999999999992</v>
      </c>
      <c r="R33" s="4">
        <f t="shared" si="4"/>
        <v>14.024000000000001</v>
      </c>
      <c r="S33" s="4">
        <f t="shared" si="5"/>
        <v>4.7680000000000078</v>
      </c>
    </row>
    <row r="34" spans="2:19">
      <c r="B34" s="1">
        <v>0.7</v>
      </c>
      <c r="D34" s="11">
        <f t="shared" si="13"/>
        <v>94.491</v>
      </c>
      <c r="E34" s="11">
        <f t="shared" si="14"/>
        <v>15.067</v>
      </c>
      <c r="F34" s="12"/>
      <c r="G34" s="12"/>
      <c r="I34" s="4">
        <f t="shared" si="0"/>
        <v>44.491</v>
      </c>
      <c r="J34" s="4">
        <f t="shared" si="1"/>
        <v>65.067000000000007</v>
      </c>
      <c r="K34" s="17">
        <f t="shared" si="7"/>
        <v>78.82362317224451</v>
      </c>
      <c r="L34">
        <f t="shared" si="8"/>
        <v>0.97104479258296361</v>
      </c>
      <c r="M34" s="15">
        <f t="shared" si="9"/>
        <v>55.636768333160241</v>
      </c>
      <c r="N34" s="18">
        <f t="shared" si="2"/>
        <v>-0.59975153421193295</v>
      </c>
      <c r="O34" s="15">
        <f t="shared" si="3"/>
        <v>-34.363231666839759</v>
      </c>
      <c r="P34" s="4">
        <f t="shared" si="10"/>
        <v>65.067000000000007</v>
      </c>
      <c r="Q34" s="4">
        <f t="shared" si="11"/>
        <v>-44.491</v>
      </c>
      <c r="R34" s="4">
        <f t="shared" si="4"/>
        <v>15.067000000000007</v>
      </c>
      <c r="S34" s="4">
        <f t="shared" si="5"/>
        <v>5.5090000000000003</v>
      </c>
    </row>
    <row r="35" spans="2:19">
      <c r="B35" s="1">
        <v>0.8</v>
      </c>
      <c r="D35" s="11">
        <f t="shared" si="13"/>
        <v>93.384</v>
      </c>
      <c r="E35" s="11">
        <f t="shared" si="14"/>
        <v>16.248000000000001</v>
      </c>
      <c r="F35" s="12"/>
      <c r="G35" s="12"/>
      <c r="I35" s="4">
        <f t="shared" si="0"/>
        <v>43.384</v>
      </c>
      <c r="J35" s="4">
        <f t="shared" si="1"/>
        <v>66.248000000000005</v>
      </c>
      <c r="K35" s="17">
        <f t="shared" si="7"/>
        <v>79.18944980235689</v>
      </c>
      <c r="L35">
        <f t="shared" si="8"/>
        <v>0.99100335135215267</v>
      </c>
      <c r="M35" s="15">
        <f t="shared" si="9"/>
        <v>56.780309515798592</v>
      </c>
      <c r="N35" s="18">
        <f t="shared" si="2"/>
        <v>-0.57979297544274389</v>
      </c>
      <c r="O35" s="15">
        <f t="shared" si="3"/>
        <v>-33.219690484201408</v>
      </c>
      <c r="P35" s="4">
        <f t="shared" si="10"/>
        <v>66.248000000000019</v>
      </c>
      <c r="Q35" s="4">
        <f t="shared" si="11"/>
        <v>-43.384</v>
      </c>
      <c r="R35" s="4">
        <f t="shared" si="4"/>
        <v>16.248000000000019</v>
      </c>
      <c r="S35" s="4">
        <f t="shared" si="5"/>
        <v>6.6159999999999997</v>
      </c>
    </row>
    <row r="36" spans="2:19">
      <c r="B36" s="1">
        <v>0.9</v>
      </c>
      <c r="D36" s="11">
        <f t="shared" si="13"/>
        <v>91.893000000000001</v>
      </c>
      <c r="E36" s="11">
        <f t="shared" si="14"/>
        <v>17.561</v>
      </c>
      <c r="F36" s="12"/>
      <c r="G36" s="12"/>
      <c r="I36" s="4">
        <f t="shared" si="0"/>
        <v>41.893000000000001</v>
      </c>
      <c r="J36" s="4">
        <f t="shared" si="1"/>
        <v>67.561000000000007</v>
      </c>
      <c r="K36" s="17">
        <f t="shared" si="7"/>
        <v>79.495359424308546</v>
      </c>
      <c r="L36">
        <f t="shared" si="8"/>
        <v>1.0157452189161476</v>
      </c>
      <c r="M36" s="15">
        <f t="shared" si="9"/>
        <v>58.197914104487126</v>
      </c>
      <c r="N36" s="18">
        <f t="shared" si="2"/>
        <v>-0.55505110787874901</v>
      </c>
      <c r="O36" s="15">
        <f t="shared" si="3"/>
        <v>-31.802085895512874</v>
      </c>
      <c r="P36" s="4">
        <f t="shared" si="10"/>
        <v>67.561000000000021</v>
      </c>
      <c r="Q36" s="4">
        <f t="shared" si="11"/>
        <v>-41.892999999999994</v>
      </c>
      <c r="R36" s="4">
        <f t="shared" si="4"/>
        <v>17.561000000000021</v>
      </c>
      <c r="S36" s="4">
        <f t="shared" si="5"/>
        <v>8.1070000000000064</v>
      </c>
    </row>
    <row r="37" spans="2:19">
      <c r="B37" s="1">
        <v>1</v>
      </c>
      <c r="D37" s="11">
        <f t="shared" si="13"/>
        <v>90</v>
      </c>
      <c r="E37" s="11">
        <f t="shared" si="14"/>
        <v>19</v>
      </c>
      <c r="F37" s="12"/>
      <c r="G37" s="12"/>
      <c r="I37" s="4">
        <f t="shared" si="0"/>
        <v>40</v>
      </c>
      <c r="J37" s="4">
        <f t="shared" si="1"/>
        <v>69</v>
      </c>
      <c r="K37" s="17">
        <f t="shared" si="7"/>
        <v>79.755877526361658</v>
      </c>
      <c r="L37">
        <f t="shared" si="8"/>
        <v>1.0454294529795805</v>
      </c>
      <c r="M37" s="15">
        <f t="shared" si="9"/>
        <v>59.898695434400302</v>
      </c>
      <c r="N37" s="18">
        <f t="shared" si="2"/>
        <v>-0.5253668738153161</v>
      </c>
      <c r="O37" s="15">
        <f t="shared" si="3"/>
        <v>-30.101304565599698</v>
      </c>
      <c r="P37" s="4">
        <f t="shared" si="10"/>
        <v>69</v>
      </c>
      <c r="Q37" s="4">
        <f t="shared" si="11"/>
        <v>-39.999999999999993</v>
      </c>
      <c r="R37" s="4">
        <f t="shared" si="4"/>
        <v>19</v>
      </c>
      <c r="S37" s="4">
        <f t="shared" si="5"/>
        <v>10.000000000000007</v>
      </c>
    </row>
    <row r="38" spans="2:19">
      <c r="B38">
        <v>0</v>
      </c>
      <c r="D38" s="4">
        <f>mLib.Bezier(B$12,C$12,D$12,E$12,$B38)</f>
        <v>90</v>
      </c>
      <c r="E38" s="4">
        <f>mLib.Bezier(B$13,C$13,D$13,E$13,$B38)</f>
        <v>19</v>
      </c>
      <c r="F38" s="12"/>
      <c r="G38" s="12"/>
      <c r="I38" s="4">
        <f t="shared" si="0"/>
        <v>40</v>
      </c>
      <c r="J38" s="4">
        <f t="shared" si="1"/>
        <v>69</v>
      </c>
      <c r="K38" s="17">
        <f t="shared" si="7"/>
        <v>79.755877526361658</v>
      </c>
      <c r="L38">
        <f t="shared" si="8"/>
        <v>1.0454294529795805</v>
      </c>
      <c r="M38" s="15">
        <f t="shared" si="9"/>
        <v>59.898695434400302</v>
      </c>
      <c r="N38" s="18">
        <f t="shared" si="2"/>
        <v>-0.5253668738153161</v>
      </c>
      <c r="O38" s="15">
        <f t="shared" si="3"/>
        <v>-30.101304565599698</v>
      </c>
      <c r="P38" s="4">
        <f t="shared" si="10"/>
        <v>69</v>
      </c>
      <c r="Q38" s="4">
        <f t="shared" si="11"/>
        <v>-39.999999999999993</v>
      </c>
      <c r="R38" s="4">
        <f t="shared" si="4"/>
        <v>19</v>
      </c>
      <c r="S38" s="4">
        <f t="shared" si="5"/>
        <v>10.000000000000007</v>
      </c>
    </row>
    <row r="39" spans="2:19">
      <c r="B39">
        <v>0.1</v>
      </c>
      <c r="D39" s="4">
        <f t="shared" ref="D39:D48" si="15">mLib.Bezier(B$12,C$12,D$12,E$12,$B39)</f>
        <v>88.048000000000016</v>
      </c>
      <c r="E39" s="4">
        <f t="shared" ref="E39:E48" si="16">mLib.Bezier(B$13,C$13,D$13,E$13,$B39)</f>
        <v>20.324000000000002</v>
      </c>
      <c r="F39" s="12"/>
      <c r="G39" s="12"/>
      <c r="I39" s="4">
        <f t="shared" si="0"/>
        <v>38.048000000000016</v>
      </c>
      <c r="J39" s="4">
        <f t="shared" si="1"/>
        <v>70.323999999999998</v>
      </c>
      <c r="K39" s="17">
        <f t="shared" si="7"/>
        <v>79.956958921659847</v>
      </c>
      <c r="L39">
        <f t="shared" si="8"/>
        <v>1.0748592771641374</v>
      </c>
      <c r="M39" s="15">
        <f t="shared" si="9"/>
        <v>61.584900151987462</v>
      </c>
      <c r="N39" s="18">
        <f t="shared" si="2"/>
        <v>-0.49593704963075913</v>
      </c>
      <c r="O39" s="15">
        <f t="shared" si="3"/>
        <v>-28.415099848012538</v>
      </c>
      <c r="P39" s="4">
        <f t="shared" si="10"/>
        <v>70.323999999999998</v>
      </c>
      <c r="Q39" s="4">
        <f t="shared" si="11"/>
        <v>-38.048000000000009</v>
      </c>
      <c r="R39" s="4">
        <f t="shared" si="4"/>
        <v>20.323999999999998</v>
      </c>
      <c r="S39" s="4">
        <f t="shared" si="5"/>
        <v>11.951999999999991</v>
      </c>
    </row>
    <row r="40" spans="2:19">
      <c r="B40">
        <v>0.2</v>
      </c>
      <c r="D40" s="4">
        <f t="shared" si="15"/>
        <v>86.384000000000015</v>
      </c>
      <c r="E40" s="4">
        <f t="shared" si="16"/>
        <v>21.312000000000005</v>
      </c>
      <c r="F40" s="12"/>
      <c r="G40" s="12"/>
      <c r="I40" s="4">
        <f t="shared" si="0"/>
        <v>36.384000000000015</v>
      </c>
      <c r="J40" s="4">
        <f t="shared" si="1"/>
        <v>71.312000000000012</v>
      </c>
      <c r="K40" s="17">
        <f t="shared" si="7"/>
        <v>80.057459365133511</v>
      </c>
      <c r="L40">
        <f t="shared" si="8"/>
        <v>1.0990151824608965</v>
      </c>
      <c r="M40" s="15">
        <f t="shared" si="9"/>
        <v>62.968931575809464</v>
      </c>
      <c r="N40" s="18">
        <f t="shared" si="2"/>
        <v>-0.47178114433400009</v>
      </c>
      <c r="O40" s="15">
        <f t="shared" si="3"/>
        <v>-27.031068424190536</v>
      </c>
      <c r="P40" s="4">
        <f t="shared" si="10"/>
        <v>71.312000000000012</v>
      </c>
      <c r="Q40" s="4">
        <f t="shared" si="11"/>
        <v>-36.384000000000015</v>
      </c>
      <c r="R40" s="4">
        <f t="shared" si="4"/>
        <v>21.312000000000012</v>
      </c>
      <c r="S40" s="4">
        <f t="shared" si="5"/>
        <v>13.615999999999985</v>
      </c>
    </row>
    <row r="41" spans="2:19">
      <c r="B41">
        <v>0.3</v>
      </c>
      <c r="D41" s="4">
        <f t="shared" si="15"/>
        <v>84.995999999999981</v>
      </c>
      <c r="E41" s="4">
        <f t="shared" si="16"/>
        <v>21.987999999999996</v>
      </c>
      <c r="F41" s="12"/>
      <c r="G41" s="12"/>
      <c r="I41" s="4">
        <f t="shared" si="0"/>
        <v>34.995999999999981</v>
      </c>
      <c r="J41" s="4">
        <f t="shared" si="1"/>
        <v>71.988</v>
      </c>
      <c r="K41" s="17">
        <f t="shared" si="7"/>
        <v>80.043689070407027</v>
      </c>
      <c r="L41">
        <f t="shared" si="8"/>
        <v>1.1183008379690382</v>
      </c>
      <c r="M41" s="15">
        <f t="shared" si="9"/>
        <v>64.073918241569217</v>
      </c>
      <c r="N41" s="18">
        <f t="shared" si="2"/>
        <v>-0.45249548882585833</v>
      </c>
      <c r="O41" s="15">
        <f t="shared" si="3"/>
        <v>-25.926081758430783</v>
      </c>
      <c r="P41" s="4">
        <f t="shared" si="10"/>
        <v>71.988</v>
      </c>
      <c r="Q41" s="4">
        <f t="shared" si="11"/>
        <v>-34.995999999999967</v>
      </c>
      <c r="R41" s="4">
        <f t="shared" si="4"/>
        <v>21.988</v>
      </c>
      <c r="S41" s="4">
        <f t="shared" si="5"/>
        <v>15.004000000000033</v>
      </c>
    </row>
    <row r="42" spans="2:19">
      <c r="B42">
        <v>0.4</v>
      </c>
      <c r="D42" s="4">
        <f t="shared" si="15"/>
        <v>83.872</v>
      </c>
      <c r="E42" s="4">
        <f t="shared" si="16"/>
        <v>22.376000000000001</v>
      </c>
      <c r="F42" s="12"/>
      <c r="G42" s="12"/>
      <c r="I42" s="4">
        <f t="shared" si="0"/>
        <v>33.872</v>
      </c>
      <c r="J42" s="4">
        <f t="shared" si="1"/>
        <v>72.376000000000005</v>
      </c>
      <c r="K42" s="17">
        <f t="shared" si="7"/>
        <v>79.909935302188799</v>
      </c>
      <c r="L42">
        <f t="shared" si="8"/>
        <v>1.1330744733584062</v>
      </c>
      <c r="M42" s="15">
        <f t="shared" si="9"/>
        <v>64.920385197445114</v>
      </c>
      <c r="N42" s="18">
        <f t="shared" si="2"/>
        <v>-0.43772185343649039</v>
      </c>
      <c r="O42" s="15">
        <f t="shared" si="3"/>
        <v>-25.079614802554886</v>
      </c>
      <c r="P42" s="4">
        <f t="shared" si="10"/>
        <v>72.376000000000005</v>
      </c>
      <c r="Q42" s="4">
        <f t="shared" si="11"/>
        <v>-33.871999999999986</v>
      </c>
      <c r="R42" s="4">
        <f t="shared" si="4"/>
        <v>22.376000000000005</v>
      </c>
      <c r="S42" s="4">
        <f t="shared" si="5"/>
        <v>16.128000000000014</v>
      </c>
    </row>
    <row r="43" spans="2:19">
      <c r="B43">
        <v>0.5</v>
      </c>
      <c r="D43" s="4">
        <f t="shared" si="15"/>
        <v>83</v>
      </c>
      <c r="E43" s="4">
        <f t="shared" si="16"/>
        <v>22.5</v>
      </c>
      <c r="F43" s="12"/>
      <c r="G43" s="12"/>
      <c r="I43" s="4">
        <f t="shared" si="0"/>
        <v>33</v>
      </c>
      <c r="J43" s="4">
        <f t="shared" si="1"/>
        <v>72.5</v>
      </c>
      <c r="K43" s="17">
        <f t="shared" si="7"/>
        <v>79.65707752610561</v>
      </c>
      <c r="L43">
        <f t="shared" si="8"/>
        <v>1.1436493531952689</v>
      </c>
      <c r="M43" s="15">
        <f t="shared" si="9"/>
        <v>65.526281180955337</v>
      </c>
      <c r="N43" s="18">
        <f t="shared" si="2"/>
        <v>-0.42714697359962761</v>
      </c>
      <c r="O43" s="15">
        <f t="shared" si="3"/>
        <v>-24.473718819044663</v>
      </c>
      <c r="P43" s="4">
        <f t="shared" si="10"/>
        <v>72.5</v>
      </c>
      <c r="Q43" s="4">
        <f t="shared" si="11"/>
        <v>-33</v>
      </c>
      <c r="R43" s="4">
        <f t="shared" si="4"/>
        <v>22.5</v>
      </c>
      <c r="S43" s="4">
        <f t="shared" si="5"/>
        <v>17</v>
      </c>
    </row>
    <row r="44" spans="2:19">
      <c r="B44">
        <v>0.6</v>
      </c>
      <c r="D44" s="4">
        <f t="shared" si="15"/>
        <v>82.368000000000009</v>
      </c>
      <c r="E44" s="4">
        <f t="shared" si="16"/>
        <v>22.384</v>
      </c>
      <c r="F44" s="12"/>
      <c r="G44" s="12"/>
      <c r="I44" s="4">
        <f t="shared" si="0"/>
        <v>32.368000000000009</v>
      </c>
      <c r="J44" s="4">
        <f t="shared" si="1"/>
        <v>72.384</v>
      </c>
      <c r="K44" s="17">
        <f t="shared" si="7"/>
        <v>79.291430053947195</v>
      </c>
      <c r="L44">
        <f t="shared" si="8"/>
        <v>1.1502977837950354</v>
      </c>
      <c r="M44" s="15">
        <f t="shared" si="9"/>
        <v>65.907208194707593</v>
      </c>
      <c r="N44" s="18">
        <f t="shared" si="2"/>
        <v>-0.42049854299986111</v>
      </c>
      <c r="O44" s="15">
        <f t="shared" si="3"/>
        <v>-24.092791805292407</v>
      </c>
      <c r="P44" s="4">
        <f t="shared" si="10"/>
        <v>72.384</v>
      </c>
      <c r="Q44" s="4">
        <f t="shared" si="11"/>
        <v>-32.368000000000002</v>
      </c>
      <c r="R44" s="4">
        <f t="shared" si="4"/>
        <v>22.384</v>
      </c>
      <c r="S44" s="4">
        <f t="shared" si="5"/>
        <v>17.631999999999998</v>
      </c>
    </row>
    <row r="45" spans="2:19">
      <c r="B45">
        <v>0.7</v>
      </c>
      <c r="D45" s="4">
        <f t="shared" si="15"/>
        <v>81.963999999999999</v>
      </c>
      <c r="E45" s="4">
        <f t="shared" si="16"/>
        <v>22.052</v>
      </c>
      <c r="F45" s="12"/>
      <c r="G45" s="12"/>
      <c r="I45" s="4">
        <f t="shared" si="0"/>
        <v>31.963999999999999</v>
      </c>
      <c r="J45" s="4">
        <f t="shared" si="1"/>
        <v>72.051999999999992</v>
      </c>
      <c r="K45" s="17">
        <f t="shared" si="7"/>
        <v>78.823778138325736</v>
      </c>
      <c r="L45">
        <f t="shared" si="8"/>
        <v>1.1532572779962726</v>
      </c>
      <c r="M45" s="15">
        <f t="shared" si="9"/>
        <v>66.076774721931926</v>
      </c>
      <c r="N45" s="18">
        <f t="shared" si="2"/>
        <v>-0.41753904879862391</v>
      </c>
      <c r="O45" s="15">
        <f t="shared" si="3"/>
        <v>-23.923225278068074</v>
      </c>
      <c r="P45" s="4">
        <f t="shared" si="10"/>
        <v>72.051999999999992</v>
      </c>
      <c r="Q45" s="4">
        <f t="shared" si="11"/>
        <v>-31.963999999999992</v>
      </c>
      <c r="R45" s="4">
        <f t="shared" si="4"/>
        <v>22.051999999999992</v>
      </c>
      <c r="S45" s="4">
        <f t="shared" si="5"/>
        <v>18.036000000000008</v>
      </c>
    </row>
    <row r="46" spans="2:19">
      <c r="B46">
        <v>0.8</v>
      </c>
      <c r="D46" s="4">
        <f t="shared" si="15"/>
        <v>81.775999999999996</v>
      </c>
      <c r="E46" s="4">
        <f t="shared" si="16"/>
        <v>21.527999999999999</v>
      </c>
      <c r="F46" s="12"/>
      <c r="G46" s="12"/>
      <c r="I46" s="4">
        <f t="shared" si="0"/>
        <v>31.775999999999996</v>
      </c>
      <c r="J46" s="4">
        <f t="shared" si="1"/>
        <v>71.527999999999992</v>
      </c>
      <c r="K46" s="17">
        <f t="shared" si="7"/>
        <v>78.268569426047378</v>
      </c>
      <c r="L46">
        <f t="shared" si="8"/>
        <v>1.1527380463854522</v>
      </c>
      <c r="M46" s="15">
        <f t="shared" si="9"/>
        <v>66.047024942042128</v>
      </c>
      <c r="N46" s="18">
        <f t="shared" si="2"/>
        <v>-0.41805828040944437</v>
      </c>
      <c r="O46" s="15">
        <f t="shared" si="3"/>
        <v>-23.952975057957872</v>
      </c>
      <c r="P46" s="4">
        <f t="shared" si="10"/>
        <v>71.527999999999992</v>
      </c>
      <c r="Q46" s="4">
        <f t="shared" si="11"/>
        <v>-31.775999999999996</v>
      </c>
      <c r="R46" s="4">
        <f t="shared" si="4"/>
        <v>21.527999999999992</v>
      </c>
      <c r="S46" s="4">
        <f t="shared" si="5"/>
        <v>18.224000000000004</v>
      </c>
    </row>
    <row r="47" spans="2:19">
      <c r="B47">
        <v>0.9</v>
      </c>
      <c r="D47" s="4">
        <f t="shared" si="15"/>
        <v>81.792000000000002</v>
      </c>
      <c r="E47" s="4">
        <f t="shared" si="16"/>
        <v>20.835999999999999</v>
      </c>
      <c r="F47" s="12"/>
      <c r="G47" s="12"/>
      <c r="I47" s="4">
        <f t="shared" si="0"/>
        <v>31.792000000000002</v>
      </c>
      <c r="J47" s="4">
        <f t="shared" si="1"/>
        <v>70.835999999999999</v>
      </c>
      <c r="K47" s="17">
        <f t="shared" si="7"/>
        <v>77.643223529165766</v>
      </c>
      <c r="L47">
        <f t="shared" si="8"/>
        <v>1.1489313318237651</v>
      </c>
      <c r="M47" s="15">
        <f t="shared" si="9"/>
        <v>65.828916263846466</v>
      </c>
      <c r="N47" s="18">
        <f t="shared" si="2"/>
        <v>-0.4218649949711315</v>
      </c>
      <c r="O47" s="15">
        <f t="shared" si="3"/>
        <v>-24.171083736153534</v>
      </c>
      <c r="P47" s="4">
        <f t="shared" si="10"/>
        <v>70.835999999999999</v>
      </c>
      <c r="Q47" s="4">
        <f t="shared" si="11"/>
        <v>-31.791999999999998</v>
      </c>
      <c r="R47" s="4">
        <f t="shared" si="4"/>
        <v>20.835999999999999</v>
      </c>
      <c r="S47" s="4">
        <f t="shared" si="5"/>
        <v>18.208000000000002</v>
      </c>
    </row>
    <row r="48" spans="2:19">
      <c r="B48">
        <v>1</v>
      </c>
      <c r="D48" s="4">
        <f t="shared" si="15"/>
        <v>82</v>
      </c>
      <c r="E48" s="4">
        <f t="shared" si="16"/>
        <v>20</v>
      </c>
      <c r="F48" s="12"/>
      <c r="G48" s="12"/>
      <c r="I48" s="4">
        <f t="shared" si="0"/>
        <v>32</v>
      </c>
      <c r="J48" s="4">
        <f t="shared" si="1"/>
        <v>70</v>
      </c>
      <c r="K48" s="17">
        <f t="shared" si="7"/>
        <v>76.967525619575426</v>
      </c>
      <c r="L48">
        <f t="shared" si="8"/>
        <v>1.1420182993488803</v>
      </c>
      <c r="M48" s="15">
        <f t="shared" si="9"/>
        <v>65.432828679398696</v>
      </c>
      <c r="N48" s="18">
        <f t="shared" si="2"/>
        <v>-0.42877802744601623</v>
      </c>
      <c r="O48" s="15">
        <f t="shared" si="3"/>
        <v>-24.567171320601304</v>
      </c>
      <c r="P48" s="4">
        <f t="shared" si="10"/>
        <v>70</v>
      </c>
      <c r="Q48" s="4">
        <f t="shared" si="11"/>
        <v>-31.999999999999989</v>
      </c>
      <c r="R48" s="4">
        <f t="shared" si="4"/>
        <v>20</v>
      </c>
      <c r="S48" s="4">
        <f t="shared" si="5"/>
        <v>18.000000000000011</v>
      </c>
    </row>
    <row r="49" spans="2:19">
      <c r="B49" s="1">
        <v>0</v>
      </c>
      <c r="D49" s="11">
        <f>mLib.Bezier(B$14,C$14,D$14,E$14,$B49)</f>
        <v>82</v>
      </c>
      <c r="E49" s="11">
        <f>mLib.Bezier(B$15,C$15,D$15,E$15,$B49)</f>
        <v>20</v>
      </c>
      <c r="F49" s="12"/>
      <c r="G49" s="12"/>
      <c r="I49" s="4">
        <f t="shared" si="0"/>
        <v>32</v>
      </c>
      <c r="J49" s="4">
        <f t="shared" si="1"/>
        <v>70</v>
      </c>
      <c r="K49" s="17">
        <f t="shared" si="7"/>
        <v>76.967525619575426</v>
      </c>
      <c r="L49">
        <f t="shared" si="8"/>
        <v>1.1420182993488803</v>
      </c>
      <c r="M49" s="15">
        <f t="shared" si="9"/>
        <v>65.432828679398696</v>
      </c>
      <c r="N49" s="18">
        <f t="shared" si="2"/>
        <v>-0.42877802744601623</v>
      </c>
      <c r="O49" s="15">
        <f t="shared" si="3"/>
        <v>-24.567171320601304</v>
      </c>
      <c r="P49" s="4">
        <f t="shared" si="10"/>
        <v>70</v>
      </c>
      <c r="Q49" s="4">
        <f t="shared" si="11"/>
        <v>-31.999999999999989</v>
      </c>
      <c r="R49" s="4">
        <f t="shared" si="4"/>
        <v>20</v>
      </c>
      <c r="S49" s="4">
        <f t="shared" si="5"/>
        <v>18.000000000000011</v>
      </c>
    </row>
    <row r="50" spans="2:19">
      <c r="B50" s="1">
        <v>0.1</v>
      </c>
      <c r="D50" s="11">
        <f t="shared" ref="D50:D59" si="17">mLib.Bezier(B$14,C$14,D$14,E$14,$B50)</f>
        <v>82.074000000000012</v>
      </c>
      <c r="E50" s="11">
        <f t="shared" ref="E50:E59" si="18">mLib.Bezier(B$15,C$15,D$15,E$15,$B50)</f>
        <v>18.736000000000001</v>
      </c>
      <c r="F50" s="12"/>
      <c r="G50" s="12"/>
      <c r="I50" s="4">
        <f t="shared" si="0"/>
        <v>32.074000000000012</v>
      </c>
      <c r="J50" s="4">
        <f t="shared" si="1"/>
        <v>68.736000000000004</v>
      </c>
      <c r="K50" s="17">
        <f t="shared" si="7"/>
        <v>75.851032768183202</v>
      </c>
      <c r="L50">
        <f t="shared" si="8"/>
        <v>1.13420261824365</v>
      </c>
      <c r="M50" s="15">
        <f t="shared" si="9"/>
        <v>64.985023138048845</v>
      </c>
      <c r="N50" s="18">
        <f t="shared" si="2"/>
        <v>-0.43659370855124657</v>
      </c>
      <c r="O50" s="15">
        <f t="shared" si="3"/>
        <v>-25.014976861951155</v>
      </c>
      <c r="P50" s="4">
        <f t="shared" si="10"/>
        <v>68.736000000000004</v>
      </c>
      <c r="Q50" s="4">
        <f t="shared" si="11"/>
        <v>-32.074000000000012</v>
      </c>
      <c r="R50" s="4">
        <f t="shared" si="4"/>
        <v>18.736000000000004</v>
      </c>
      <c r="S50" s="4">
        <f t="shared" si="5"/>
        <v>17.925999999999988</v>
      </c>
    </row>
    <row r="51" spans="2:19">
      <c r="B51" s="1">
        <v>0.2</v>
      </c>
      <c r="D51" s="11">
        <f t="shared" si="17"/>
        <v>81.752000000000024</v>
      </c>
      <c r="E51" s="11">
        <f t="shared" si="18"/>
        <v>17.928000000000004</v>
      </c>
      <c r="F51" s="12"/>
      <c r="G51" s="12"/>
      <c r="I51" s="4">
        <f t="shared" si="0"/>
        <v>31.752000000000024</v>
      </c>
      <c r="J51" s="4">
        <f t="shared" si="1"/>
        <v>67.927999999999997</v>
      </c>
      <c r="K51" s="17">
        <f t="shared" si="7"/>
        <v>74.982682587381476</v>
      </c>
      <c r="L51">
        <f t="shared" si="8"/>
        <v>1.1335375121294304</v>
      </c>
      <c r="M51" s="15">
        <f t="shared" si="9"/>
        <v>64.94691536477572</v>
      </c>
      <c r="N51" s="18">
        <f t="shared" si="2"/>
        <v>-0.43725881466546612</v>
      </c>
      <c r="O51" s="15">
        <f t="shared" si="3"/>
        <v>-25.05308463522428</v>
      </c>
      <c r="P51" s="4">
        <f t="shared" si="10"/>
        <v>67.927999999999997</v>
      </c>
      <c r="Q51" s="4">
        <f t="shared" si="11"/>
        <v>-31.75200000000002</v>
      </c>
      <c r="R51" s="4">
        <f t="shared" si="4"/>
        <v>17.927999999999997</v>
      </c>
      <c r="S51" s="4">
        <f t="shared" si="5"/>
        <v>18.24799999999998</v>
      </c>
    </row>
    <row r="52" spans="2:19">
      <c r="B52" s="1">
        <v>0.3</v>
      </c>
      <c r="D52" s="11">
        <f t="shared" si="17"/>
        <v>81.117999999999981</v>
      </c>
      <c r="E52" s="11">
        <f t="shared" si="18"/>
        <v>17.551999999999996</v>
      </c>
      <c r="F52" s="12"/>
      <c r="G52" s="12"/>
      <c r="I52" s="4">
        <f t="shared" si="0"/>
        <v>31.117999999999981</v>
      </c>
      <c r="J52" s="4">
        <f t="shared" si="1"/>
        <v>67.551999999999992</v>
      </c>
      <c r="K52" s="17">
        <f t="shared" si="7"/>
        <v>74.374744557544517</v>
      </c>
      <c r="L52">
        <f t="shared" si="8"/>
        <v>1.139119147102948</v>
      </c>
      <c r="M52" s="15">
        <f t="shared" si="9"/>
        <v>65.266719491540897</v>
      </c>
      <c r="N52" s="18">
        <f t="shared" si="2"/>
        <v>-0.43167717969194852</v>
      </c>
      <c r="O52" s="15">
        <f t="shared" si="3"/>
        <v>-24.733280508459103</v>
      </c>
      <c r="P52" s="4">
        <f t="shared" si="10"/>
        <v>67.551999999999992</v>
      </c>
      <c r="Q52" s="4">
        <f t="shared" si="11"/>
        <v>-31.117999999999984</v>
      </c>
      <c r="R52" s="4">
        <f t="shared" si="4"/>
        <v>17.551999999999992</v>
      </c>
      <c r="S52" s="4">
        <f t="shared" si="5"/>
        <v>18.882000000000016</v>
      </c>
    </row>
    <row r="53" spans="2:19">
      <c r="B53" s="1">
        <v>0.4</v>
      </c>
      <c r="D53" s="11">
        <f t="shared" si="17"/>
        <v>80.256</v>
      </c>
      <c r="E53" s="11">
        <f t="shared" si="18"/>
        <v>17.584</v>
      </c>
      <c r="F53" s="12"/>
      <c r="G53" s="12"/>
      <c r="I53" s="4">
        <f t="shared" si="0"/>
        <v>30.256</v>
      </c>
      <c r="J53" s="4">
        <f t="shared" si="1"/>
        <v>67.584000000000003</v>
      </c>
      <c r="K53" s="17">
        <f t="shared" si="7"/>
        <v>74.047434742872767</v>
      </c>
      <c r="L53">
        <f t="shared" si="8"/>
        <v>1.149873451769599</v>
      </c>
      <c r="M53" s="15">
        <f t="shared" si="9"/>
        <v>65.882895760537849</v>
      </c>
      <c r="N53" s="18">
        <f t="shared" si="2"/>
        <v>-0.42092287502529757</v>
      </c>
      <c r="O53" s="15">
        <f t="shared" si="3"/>
        <v>-24.117104239462151</v>
      </c>
      <c r="P53" s="4">
        <f t="shared" si="10"/>
        <v>67.584000000000003</v>
      </c>
      <c r="Q53" s="4">
        <f t="shared" si="11"/>
        <v>-30.255999999999993</v>
      </c>
      <c r="R53" s="4">
        <f t="shared" si="4"/>
        <v>17.584000000000003</v>
      </c>
      <c r="S53" s="4">
        <f t="shared" si="5"/>
        <v>19.744000000000007</v>
      </c>
    </row>
    <row r="54" spans="2:19">
      <c r="B54" s="1">
        <v>0.5</v>
      </c>
      <c r="D54" s="11">
        <f t="shared" si="17"/>
        <v>79.25</v>
      </c>
      <c r="E54" s="11">
        <f t="shared" si="18"/>
        <v>18</v>
      </c>
      <c r="F54" s="12"/>
      <c r="G54" s="12"/>
      <c r="I54" s="4">
        <f t="shared" si="0"/>
        <v>29.25</v>
      </c>
      <c r="J54" s="4">
        <f t="shared" si="1"/>
        <v>68</v>
      </c>
      <c r="K54" s="17">
        <f t="shared" si="7"/>
        <v>74.024067032283497</v>
      </c>
      <c r="L54">
        <f t="shared" si="8"/>
        <v>1.1645741643545586</v>
      </c>
      <c r="M54" s="15">
        <f t="shared" si="9"/>
        <v>66.725184547490883</v>
      </c>
      <c r="N54" s="18">
        <f t="shared" si="2"/>
        <v>-0.40622216244033793</v>
      </c>
      <c r="O54" s="15">
        <f t="shared" si="3"/>
        <v>-23.274815452509117</v>
      </c>
      <c r="P54" s="4">
        <f t="shared" si="10"/>
        <v>68.000000000000014</v>
      </c>
      <c r="Q54" s="4">
        <f t="shared" si="11"/>
        <v>-29.249999999999996</v>
      </c>
      <c r="R54" s="4">
        <f t="shared" si="4"/>
        <v>18.000000000000014</v>
      </c>
      <c r="S54" s="4">
        <f t="shared" si="5"/>
        <v>20.750000000000004</v>
      </c>
    </row>
    <row r="55" spans="2:19">
      <c r="B55" s="1">
        <v>0.6</v>
      </c>
      <c r="D55" s="11">
        <f t="shared" si="17"/>
        <v>78.183999999999997</v>
      </c>
      <c r="E55" s="11">
        <f t="shared" si="18"/>
        <v>18.776</v>
      </c>
      <c r="F55" s="12"/>
      <c r="G55" s="12"/>
      <c r="I55" s="4">
        <f t="shared" si="0"/>
        <v>28.183999999999997</v>
      </c>
      <c r="J55" s="4">
        <f t="shared" si="1"/>
        <v>68.775999999999996</v>
      </c>
      <c r="K55" s="17">
        <f t="shared" si="7"/>
        <v>74.32681906283895</v>
      </c>
      <c r="L55">
        <f t="shared" si="8"/>
        <v>1.181875365452365</v>
      </c>
      <c r="M55" s="15">
        <f t="shared" si="9"/>
        <v>67.716470350902298</v>
      </c>
      <c r="N55" s="18">
        <f t="shared" si="2"/>
        <v>-0.38892096134253151</v>
      </c>
      <c r="O55" s="15">
        <f t="shared" si="3"/>
        <v>-22.283529649097702</v>
      </c>
      <c r="P55" s="4">
        <f t="shared" si="10"/>
        <v>68.775999999999996</v>
      </c>
      <c r="Q55" s="4">
        <f t="shared" si="11"/>
        <v>-28.183999999999997</v>
      </c>
      <c r="R55" s="4">
        <f t="shared" si="4"/>
        <v>18.775999999999996</v>
      </c>
      <c r="S55" s="4">
        <f t="shared" si="5"/>
        <v>21.816000000000003</v>
      </c>
    </row>
    <row r="56" spans="2:19">
      <c r="B56" s="1">
        <v>0.7</v>
      </c>
      <c r="D56" s="11">
        <f t="shared" si="17"/>
        <v>77.141999999999996</v>
      </c>
      <c r="E56" s="11">
        <f t="shared" si="18"/>
        <v>19.887999999999998</v>
      </c>
      <c r="F56" s="12"/>
      <c r="G56" s="12"/>
      <c r="I56" s="4">
        <f t="shared" si="0"/>
        <v>27.141999999999996</v>
      </c>
      <c r="J56" s="4">
        <f t="shared" si="1"/>
        <v>69.888000000000005</v>
      </c>
      <c r="K56" s="17">
        <f t="shared" si="7"/>
        <v>74.973466693224211</v>
      </c>
      <c r="L56">
        <f t="shared" si="8"/>
        <v>1.2003608459809005</v>
      </c>
      <c r="M56" s="15">
        <f t="shared" si="9"/>
        <v>68.77561036745864</v>
      </c>
      <c r="N56" s="18">
        <f t="shared" si="2"/>
        <v>-0.37043548081399602</v>
      </c>
      <c r="O56" s="15">
        <f t="shared" si="3"/>
        <v>-21.22438963254136</v>
      </c>
      <c r="P56" s="4">
        <f t="shared" si="10"/>
        <v>69.888000000000005</v>
      </c>
      <c r="Q56" s="4">
        <f t="shared" si="11"/>
        <v>-27.141999999999985</v>
      </c>
      <c r="R56" s="4">
        <f t="shared" si="4"/>
        <v>19.888000000000005</v>
      </c>
      <c r="S56" s="4">
        <f t="shared" si="5"/>
        <v>22.858000000000015</v>
      </c>
    </row>
    <row r="57" spans="2:19">
      <c r="B57" s="1">
        <v>0.8</v>
      </c>
      <c r="D57" s="11">
        <f t="shared" si="17"/>
        <v>76.207999999999998</v>
      </c>
      <c r="E57" s="11">
        <f t="shared" si="18"/>
        <v>21.312000000000001</v>
      </c>
      <c r="F57" s="12"/>
      <c r="G57" s="12"/>
      <c r="I57" s="4">
        <f t="shared" si="0"/>
        <v>26.207999999999998</v>
      </c>
      <c r="J57" s="4">
        <f t="shared" si="1"/>
        <v>71.311999999999998</v>
      </c>
      <c r="K57" s="17">
        <f t="shared" si="7"/>
        <v>75.975394753828027</v>
      </c>
      <c r="L57">
        <f t="shared" si="8"/>
        <v>1.2186067791591355</v>
      </c>
      <c r="M57" s="15">
        <f t="shared" si="9"/>
        <v>69.821025331849228</v>
      </c>
      <c r="N57" s="18">
        <f t="shared" si="2"/>
        <v>-0.35218954763576105</v>
      </c>
      <c r="O57" s="15">
        <f t="shared" si="3"/>
        <v>-20.178974668150772</v>
      </c>
      <c r="P57" s="4">
        <f t="shared" si="10"/>
        <v>71.311999999999998</v>
      </c>
      <c r="Q57" s="4">
        <f t="shared" si="11"/>
        <v>-26.207999999999984</v>
      </c>
      <c r="R57" s="4">
        <f t="shared" si="4"/>
        <v>21.311999999999998</v>
      </c>
      <c r="S57" s="4">
        <f t="shared" si="5"/>
        <v>23.792000000000016</v>
      </c>
    </row>
    <row r="58" spans="2:19">
      <c r="B58" s="1">
        <v>0.9</v>
      </c>
      <c r="D58" s="11">
        <f t="shared" si="17"/>
        <v>75.465999999999994</v>
      </c>
      <c r="E58" s="11">
        <f t="shared" si="18"/>
        <v>23.024000000000001</v>
      </c>
      <c r="F58" s="12"/>
      <c r="G58" s="12"/>
      <c r="I58" s="4">
        <f t="shared" si="0"/>
        <v>25.465999999999994</v>
      </c>
      <c r="J58" s="4">
        <f t="shared" si="1"/>
        <v>73.024000000000001</v>
      </c>
      <c r="K58" s="17">
        <f t="shared" si="7"/>
        <v>77.337065705908444</v>
      </c>
      <c r="L58">
        <f t="shared" si="8"/>
        <v>1.2352492012224714</v>
      </c>
      <c r="M58" s="15">
        <f t="shared" si="9"/>
        <v>70.774565876953787</v>
      </c>
      <c r="N58" s="18">
        <f t="shared" si="2"/>
        <v>-0.33554712557242516</v>
      </c>
      <c r="O58" s="15">
        <f t="shared" si="3"/>
        <v>-19.225434123046213</v>
      </c>
      <c r="P58" s="4">
        <f t="shared" si="10"/>
        <v>73.024000000000001</v>
      </c>
      <c r="Q58" s="4">
        <f t="shared" si="11"/>
        <v>-25.465999999999994</v>
      </c>
      <c r="R58" s="4">
        <f t="shared" si="4"/>
        <v>23.024000000000001</v>
      </c>
      <c r="S58" s="4">
        <f t="shared" si="5"/>
        <v>24.534000000000006</v>
      </c>
    </row>
    <row r="59" spans="2:19">
      <c r="B59" s="1">
        <v>1</v>
      </c>
      <c r="D59" s="11">
        <f t="shared" si="17"/>
        <v>75</v>
      </c>
      <c r="E59" s="11">
        <f t="shared" si="18"/>
        <v>25</v>
      </c>
      <c r="F59" s="12"/>
      <c r="G59" s="12"/>
      <c r="I59" s="4">
        <f t="shared" si="0"/>
        <v>25</v>
      </c>
      <c r="J59" s="4">
        <f t="shared" si="1"/>
        <v>75</v>
      </c>
      <c r="K59" s="17">
        <f t="shared" si="7"/>
        <v>79.05694150420949</v>
      </c>
      <c r="L59">
        <f t="shared" si="8"/>
        <v>1.2490457723982544</v>
      </c>
      <c r="M59" s="15">
        <f t="shared" si="9"/>
        <v>71.56505117707799</v>
      </c>
      <c r="N59" s="18">
        <f t="shared" si="2"/>
        <v>-0.32175055439664213</v>
      </c>
      <c r="O59" s="15">
        <f t="shared" si="3"/>
        <v>-18.43494882292201</v>
      </c>
      <c r="P59" s="4">
        <f t="shared" si="10"/>
        <v>75</v>
      </c>
      <c r="Q59" s="4">
        <f t="shared" si="11"/>
        <v>-25</v>
      </c>
      <c r="R59" s="4">
        <f t="shared" si="4"/>
        <v>25</v>
      </c>
      <c r="S59" s="4">
        <f t="shared" si="5"/>
        <v>25</v>
      </c>
    </row>
    <row r="60" spans="2:19"/>
    <row r="61" spans="2:19">
      <c r="H61" t="s">
        <v>79</v>
      </c>
      <c r="L61" t="s">
        <v>82</v>
      </c>
    </row>
    <row r="62" spans="2:19">
      <c r="H62" t="s">
        <v>80</v>
      </c>
      <c r="L62" t="s">
        <v>83</v>
      </c>
    </row>
    <row r="63" spans="2:19">
      <c r="H63" t="s">
        <v>81</v>
      </c>
    </row>
    <row r="64" spans="2:19">
      <c r="L64" t="s">
        <v>84</v>
      </c>
    </row>
    <row r="65" spans="1:12">
      <c r="L65" t="s">
        <v>85</v>
      </c>
    </row>
    <row r="66" spans="1:12">
      <c r="A66" t="s">
        <v>76</v>
      </c>
    </row>
    <row r="67" spans="1:12"/>
    <row r="68" spans="1:12"/>
    <row r="69" spans="1:12"/>
  </sheetData>
  <mergeCells count="7">
    <mergeCell ref="I8:J8"/>
    <mergeCell ref="K13:M13"/>
    <mergeCell ref="L14:M14"/>
    <mergeCell ref="K14:K15"/>
    <mergeCell ref="N12:O12"/>
    <mergeCell ref="N13:O13"/>
    <mergeCell ref="I13:J14"/>
  </mergeCells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3"/>
  <dimension ref="A1:K68"/>
  <sheetViews>
    <sheetView workbookViewId="0"/>
  </sheetViews>
  <sheetFormatPr defaultColWidth="0" defaultRowHeight="15" zeroHeight="1"/>
  <cols>
    <col min="1" max="11" width="9.140625" customWidth="1"/>
    <col min="12" max="16384" width="9.140625" hidden="1"/>
  </cols>
  <sheetData>
    <row r="1" spans="1:2">
      <c r="A1" t="str">
        <f>CONCATENATE(B4&amp;CHAR(10),tSVG,tDEFS,tMETA,A54)</f>
        <v>&lt;?xml version="1.0" encoding="UTF-8" standalone="no"?&gt;
&lt;svg   xmlns:dc="http://purl.org/dc/elements/1.1/"   xmlns:cc="http://creativecommons.org/ns#"   xmlns:rdf="http://www.w3.org/1999/02/22-rdf-syntax-ns#"   xmlns:svg="http://www.w3.org/2000/svg"   xmlns="http://www.w3.org/2000/svg"   xmlns:sodipodi="http://sodipodi.sourceforge.net/DTD/sodipodi-0.dtd"   xmlns:inkscape="http://www.inkscape.org/namespaces/inkscape"   width="210mm"   height="297mm"   viewBox="0 0 210 297"   version="1.1"   id="svg8"   inkscape:version="0.92.5 (2060ec1f9f, 2020-04-08)"   sodipodi:docname="espelho11.svg"&gt;  &lt;defs     id="defs2" /&gt;  &lt;sodipodi:namedview     id="base"     pagecolor="#ffffff"     bordercolor="#666666"     borderopacity="1.0"     inkscape:pageopacity="0.0"     inkscape:pageshadow="2"     inkscape:zoom="4.7"     inkscape:cx="3.4e+02"     inkscape:cy="1.1e+03"     inkscape:document-units="mm"     inkscape:current-layer="layer1"     showgrid="false"     inkscape:window-width="1366"     inkscape:window-height="705"     inkscape:window-x="-8"     inkscape:window-y="-8"     inkscape:window-maximized="1" /&gt;  &lt;metadata     id="metadata5"&gt;    &lt;rdf:RDF&gt;      &lt;cc:Work         rdf:about=""&gt;        &lt;dc:format&gt;image/svg+xml&lt;/dc:format&gt;        &lt;dc:type           rdf:resource="http://purl.org/dc/dcmitype/StillImage" /&gt;        &lt;dc:title /&gt;      &lt;/cc:Work&gt;    &lt;/rdf:RDF&gt;  &lt;/metadata&gt;  &lt;g     inkscape:label="Layer 1"     inkscape:groupmode="layer"     id="layer1"&gt;</v>
      </c>
    </row>
    <row r="2" spans="1:2">
      <c r="A2" t="str">
        <f>A65</f>
        <v xml:space="preserve">  &lt;/g&gt;&lt;/svg&gt;</v>
      </c>
    </row>
    <row r="3" spans="1:2">
      <c r="A3" t="s">
        <v>61</v>
      </c>
    </row>
    <row r="4" spans="1:2">
      <c r="B4" s="1" t="s">
        <v>0</v>
      </c>
    </row>
    <row r="5" spans="1:2">
      <c r="B5" s="1" t="s">
        <v>1</v>
      </c>
    </row>
    <row r="6" spans="1:2">
      <c r="B6" s="1"/>
    </row>
    <row r="7" spans="1:2">
      <c r="A7" s="3" t="str">
        <f>CONCATENATE(B7,B8,B9,B10,B11,B12,B13,B14,B15,B16,B17,B18,B19,B20,B21)</f>
        <v>&lt;svg   xmlns:dc="http://purl.org/dc/elements/1.1/"   xmlns:cc="http://creativecommons.org/ns#"   xmlns:rdf="http://www.w3.org/1999/02/22-rdf-syntax-ns#"   xmlns:svg="http://www.w3.org/2000/svg"   xmlns="http://www.w3.org/2000/svg"   xmlns:sodipodi="http://sodipodi.sourceforge.net/DTD/sodipodi-0.dtd"   xmlns:inkscape="http://www.inkscape.org/namespaces/inkscape"   width="210mm"   height="297mm"   viewBox="0 0 210 297"   version="1.1"   id="svg8"   inkscape:version="0.92.5 (2060ec1f9f, 2020-04-08)"   sodipodi:docname="espelho11.svg"&gt;</v>
      </c>
      <c r="B7" s="1" t="s">
        <v>2</v>
      </c>
    </row>
    <row r="8" spans="1:2">
      <c r="B8" s="1" t="s">
        <v>3</v>
      </c>
    </row>
    <row r="9" spans="1:2">
      <c r="B9" s="1" t="s">
        <v>4</v>
      </c>
    </row>
    <row r="10" spans="1:2">
      <c r="B10" s="1" t="s">
        <v>5</v>
      </c>
    </row>
    <row r="11" spans="1:2">
      <c r="B11" s="1" t="s">
        <v>6</v>
      </c>
    </row>
    <row r="12" spans="1:2">
      <c r="B12" s="1" t="s">
        <v>7</v>
      </c>
    </row>
    <row r="13" spans="1:2">
      <c r="B13" s="1" t="s">
        <v>8</v>
      </c>
    </row>
    <row r="14" spans="1:2">
      <c r="B14" s="1" t="s">
        <v>9</v>
      </c>
    </row>
    <row r="15" spans="1:2">
      <c r="B15" s="1" t="s">
        <v>10</v>
      </c>
    </row>
    <row r="16" spans="1:2">
      <c r="B16" s="1" t="s">
        <v>11</v>
      </c>
    </row>
    <row r="17" spans="1:2">
      <c r="B17" s="1" t="s">
        <v>12</v>
      </c>
    </row>
    <row r="18" spans="1:2">
      <c r="B18" s="1" t="s">
        <v>13</v>
      </c>
    </row>
    <row r="19" spans="1:2">
      <c r="B19" s="1" t="s">
        <v>14</v>
      </c>
    </row>
    <row r="20" spans="1:2">
      <c r="B20" s="1" t="s">
        <v>15</v>
      </c>
    </row>
    <row r="21" spans="1:2">
      <c r="B21" s="1" t="str">
        <f>CONCATENATE("   sodipodi:docname=""",A3,".svg""","&gt;")</f>
        <v xml:space="preserve">   sodipodi:docname="espelho11.svg"&gt;</v>
      </c>
    </row>
    <row r="22" spans="1:2">
      <c r="A22" s="3" t="str">
        <f>CONCATENATE(B22,B23,B24,B25,B26,B27,B28,B29,B30,B31,B32,B33,B34,B35,B36,B37,B38,B39,B40,B41)</f>
        <v xml:space="preserve">  &lt;defs     id="defs2" /&gt;  &lt;sodipodi:namedview     id="base"     pagecolor="#ffffff"     bordercolor="#666666"     borderopacity="1.0"     inkscape:pageopacity="0.0"     inkscape:pageshadow="2"     inkscape:zoom="4.7"     inkscape:cx="3.4e+02"     inkscape:cy="1.1e+03"     inkscape:document-units="mm"     inkscape:current-layer="layer1"     showgrid="false"     inkscape:window-width="1366"     inkscape:window-height="705"     inkscape:window-x="-8"     inkscape:window-y="-8"     inkscape:window-maximized="1" /&gt;</v>
      </c>
      <c r="B22" s="1" t="s">
        <v>16</v>
      </c>
    </row>
    <row r="23" spans="1:2">
      <c r="B23" s="1" t="s">
        <v>17</v>
      </c>
    </row>
    <row r="24" spans="1:2">
      <c r="B24" s="1" t="s">
        <v>18</v>
      </c>
    </row>
    <row r="25" spans="1:2">
      <c r="B25" s="1" t="s">
        <v>19</v>
      </c>
    </row>
    <row r="26" spans="1:2">
      <c r="B26" s="1" t="s">
        <v>20</v>
      </c>
    </row>
    <row r="27" spans="1:2">
      <c r="B27" s="1" t="s">
        <v>21</v>
      </c>
    </row>
    <row r="28" spans="1:2">
      <c r="B28" s="1" t="s">
        <v>22</v>
      </c>
    </row>
    <row r="29" spans="1:2">
      <c r="B29" s="1" t="s">
        <v>23</v>
      </c>
    </row>
    <row r="30" spans="1:2">
      <c r="B30" s="1" t="s">
        <v>24</v>
      </c>
    </row>
    <row r="31" spans="1:2">
      <c r="B31" s="1" t="s">
        <v>25</v>
      </c>
    </row>
    <row r="32" spans="1:2">
      <c r="B32" s="1" t="s">
        <v>26</v>
      </c>
    </row>
    <row r="33" spans="1:2">
      <c r="B33" s="1" t="s">
        <v>27</v>
      </c>
    </row>
    <row r="34" spans="1:2">
      <c r="B34" s="1" t="s">
        <v>28</v>
      </c>
    </row>
    <row r="35" spans="1:2">
      <c r="B35" s="1" t="s">
        <v>29</v>
      </c>
    </row>
    <row r="36" spans="1:2">
      <c r="B36" s="1" t="s">
        <v>30</v>
      </c>
    </row>
    <row r="37" spans="1:2">
      <c r="B37" s="1" t="s">
        <v>31</v>
      </c>
    </row>
    <row r="38" spans="1:2">
      <c r="B38" s="1" t="s">
        <v>32</v>
      </c>
    </row>
    <row r="39" spans="1:2">
      <c r="B39" s="1" t="s">
        <v>33</v>
      </c>
    </row>
    <row r="40" spans="1:2">
      <c r="B40" s="1" t="s">
        <v>34</v>
      </c>
    </row>
    <row r="41" spans="1:2">
      <c r="B41" s="1" t="s">
        <v>35</v>
      </c>
    </row>
    <row r="42" spans="1:2">
      <c r="A42" s="3" t="str">
        <f>CONCATENATE(B42,B43,B44,B45,B46,B47,B48,B49,B50,B51,B52,B53)</f>
        <v xml:space="preserve">  &lt;metadata     id="metadata5"&gt;    &lt;rdf:RDF&gt;      &lt;cc:Work         rdf:about=""&gt;        &lt;dc:format&gt;image/svg+xml&lt;/dc:format&gt;        &lt;dc:type           rdf:resource="http://purl.org/dc/dcmitype/StillImage" /&gt;        &lt;dc:title /&gt;      &lt;/cc:Work&gt;    &lt;/rdf:RDF&gt;  &lt;/metadata&gt;</v>
      </c>
      <c r="B42" s="1" t="s">
        <v>36</v>
      </c>
    </row>
    <row r="43" spans="1:2">
      <c r="B43" s="1" t="s">
        <v>37</v>
      </c>
    </row>
    <row r="44" spans="1:2">
      <c r="B44" s="1" t="s">
        <v>38</v>
      </c>
    </row>
    <row r="45" spans="1:2">
      <c r="B45" s="1" t="s">
        <v>39</v>
      </c>
    </row>
    <row r="46" spans="1:2">
      <c r="B46" s="1" t="s">
        <v>40</v>
      </c>
    </row>
    <row r="47" spans="1:2">
      <c r="B47" s="1" t="s">
        <v>41</v>
      </c>
    </row>
    <row r="48" spans="1:2">
      <c r="B48" s="1" t="s">
        <v>42</v>
      </c>
    </row>
    <row r="49" spans="1:2">
      <c r="B49" s="1" t="s">
        <v>43</v>
      </c>
    </row>
    <row r="50" spans="1:2">
      <c r="B50" s="1" t="s">
        <v>44</v>
      </c>
    </row>
    <row r="51" spans="1:2">
      <c r="B51" s="1" t="s">
        <v>45</v>
      </c>
    </row>
    <row r="52" spans="1:2">
      <c r="B52" s="1" t="s">
        <v>46</v>
      </c>
    </row>
    <row r="53" spans="1:2">
      <c r="B53" s="1" t="s">
        <v>47</v>
      </c>
    </row>
    <row r="54" spans="1:2">
      <c r="A54" s="3" t="str">
        <f>CONCATENATE(B54,B55,B56,B57)</f>
        <v xml:space="preserve">  &lt;g     inkscape:label="Layer 1"     inkscape:groupmode="layer"     id="layer1"&gt;</v>
      </c>
      <c r="B54" s="1" t="s">
        <v>48</v>
      </c>
    </row>
    <row r="55" spans="1:2">
      <c r="B55" s="1" t="s">
        <v>49</v>
      </c>
    </row>
    <row r="56" spans="1:2">
      <c r="B56" s="1" t="s">
        <v>50</v>
      </c>
    </row>
    <row r="57" spans="1:2">
      <c r="B57" t="s">
        <v>62</v>
      </c>
    </row>
    <row r="58" spans="1:2"/>
    <row r="59" spans="1:2"/>
    <row r="60" spans="1:2"/>
    <row r="61" spans="1:2"/>
    <row r="62" spans="1:2"/>
    <row r="63" spans="1:2"/>
    <row r="64" spans="1:2"/>
    <row r="65" spans="1:2">
      <c r="A65" s="3" t="str">
        <f>CONCATENATE(B65,B66)</f>
        <v xml:space="preserve">  &lt;/g&gt;&lt;/svg&gt;</v>
      </c>
      <c r="B65" s="2" t="s">
        <v>51</v>
      </c>
    </row>
    <row r="66" spans="1:2">
      <c r="B66" s="2" t="s">
        <v>52</v>
      </c>
    </row>
    <row r="67" spans="1:2"/>
    <row r="68" spans="1:2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22</vt:i4>
      </vt:variant>
    </vt:vector>
  </HeadingPairs>
  <TitlesOfParts>
    <vt:vector size="27" baseType="lpstr">
      <vt:lpstr>Лист1</vt:lpstr>
      <vt:lpstr>Лист2</vt:lpstr>
      <vt:lpstr>Лист3</vt:lpstr>
      <vt:lpstr>Лист4</vt:lpstr>
      <vt:lpstr>xml</vt:lpstr>
      <vt:lpstr>_cX</vt:lpstr>
      <vt:lpstr>_cY</vt:lpstr>
      <vt:lpstr>_T00</vt:lpstr>
      <vt:lpstr>_T01</vt:lpstr>
      <vt:lpstr>_T02</vt:lpstr>
      <vt:lpstr>_T03</vt:lpstr>
      <vt:lpstr>_T11</vt:lpstr>
      <vt:lpstr>_T12</vt:lpstr>
      <vt:lpstr>_T13</vt:lpstr>
      <vt:lpstr>_T21</vt:lpstr>
      <vt:lpstr>_T22</vt:lpstr>
      <vt:lpstr>_T23</vt:lpstr>
      <vt:lpstr>_T31</vt:lpstr>
      <vt:lpstr>_T32</vt:lpstr>
      <vt:lpstr>_T33</vt:lpstr>
      <vt:lpstr>_vGR</vt:lpstr>
      <vt:lpstr>_vRD</vt:lpstr>
      <vt:lpstr>_XMLbeg</vt:lpstr>
      <vt:lpstr>_XMLend</vt:lpstr>
      <vt:lpstr>tDEFS</vt:lpstr>
      <vt:lpstr>tMETA</vt:lpstr>
      <vt:lpstr>tSVG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</dc:creator>
  <cp:lastModifiedBy>Ольга Бледнова</cp:lastModifiedBy>
  <dcterms:created xsi:type="dcterms:W3CDTF">2020-05-03T10:28:22Z</dcterms:created>
  <dcterms:modified xsi:type="dcterms:W3CDTF">2020-05-10T13:30:35Z</dcterms:modified>
</cp:coreProperties>
</file>